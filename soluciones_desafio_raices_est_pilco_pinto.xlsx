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80b07243c409cf2/Documentos/2-2025/MET_NUM_I/DESAFIO_RAICES_DE_ECUACIONES_pilco_pinto/"/>
    </mc:Choice>
  </mc:AlternateContent>
  <xr:revisionPtr revIDLastSave="0" documentId="13_ncr:1_{517EFA4E-FCC0-4611-954C-FD8BC0CCADF2}" xr6:coauthVersionLast="47" xr6:coauthVersionMax="47" xr10:uidLastSave="{00000000-0000-0000-0000-000000000000}"/>
  <bookViews>
    <workbookView xWindow="1080" yWindow="1305" windowWidth="15390" windowHeight="7650" firstSheet="2" activeTab="3" xr2:uid="{00000000-000D-0000-FFFF-FFFF00000000}"/>
  </bookViews>
  <sheets>
    <sheet name="Problema_1_bis_new_sec" sheetId="1" r:id="rId1"/>
    <sheet name="Problema_2_bis_new_sec" sheetId="6" r:id="rId2"/>
    <sheet name="Problema_3_bis_new_sec" sheetId="9" r:id="rId3"/>
    <sheet name="Problema_4_bis_new_sec" sheetId="16" r:id="rId4"/>
  </sheets>
  <calcPr calcId="191029"/>
</workbook>
</file>

<file path=xl/calcChain.xml><?xml version="1.0" encoding="utf-8"?>
<calcChain xmlns="http://schemas.openxmlformats.org/spreadsheetml/2006/main">
  <c r="E51" i="16" l="1"/>
  <c r="F37" i="16"/>
  <c r="E50" i="16"/>
  <c r="E37" i="16"/>
  <c r="D38" i="16" s="1"/>
  <c r="C13" i="16"/>
  <c r="G12" i="16"/>
  <c r="F12" i="16"/>
  <c r="D8" i="16"/>
  <c r="D7" i="16"/>
  <c r="E12" i="16"/>
  <c r="D13" i="16" s="1"/>
  <c r="D14" i="16" s="1"/>
  <c r="D15" i="16" s="1"/>
  <c r="E54" i="9"/>
  <c r="E53" i="9"/>
  <c r="Q59" i="9"/>
  <c r="Q58" i="9"/>
  <c r="AB53" i="9"/>
  <c r="AB52" i="9"/>
  <c r="AB39" i="9"/>
  <c r="F39" i="9"/>
  <c r="E39" i="9"/>
  <c r="D40" i="9" s="1"/>
  <c r="R45" i="9"/>
  <c r="Q45" i="9"/>
  <c r="P46" i="9" s="1"/>
  <c r="AC39" i="9"/>
  <c r="S20" i="9"/>
  <c r="F14" i="9"/>
  <c r="D15" i="9"/>
  <c r="G15" i="9" s="1"/>
  <c r="R20" i="9"/>
  <c r="AA15" i="9"/>
  <c r="G14" i="9"/>
  <c r="E14" i="9"/>
  <c r="C15" i="9" s="1"/>
  <c r="D10" i="9"/>
  <c r="D9" i="9"/>
  <c r="P21" i="9"/>
  <c r="S21" i="9" s="1"/>
  <c r="Q20" i="9"/>
  <c r="O21" i="9" s="1"/>
  <c r="O22" i="9" s="1"/>
  <c r="P16" i="9"/>
  <c r="P15" i="9"/>
  <c r="AD14" i="9"/>
  <c r="AC14" i="9"/>
  <c r="AA9" i="9"/>
  <c r="AA10" i="9"/>
  <c r="AD15" i="9"/>
  <c r="AB14" i="9"/>
  <c r="E45" i="6"/>
  <c r="E44" i="6"/>
  <c r="F31" i="6"/>
  <c r="E31" i="6"/>
  <c r="D13" i="6"/>
  <c r="G13" i="6" s="1"/>
  <c r="G12" i="6"/>
  <c r="F12" i="6"/>
  <c r="D8" i="6"/>
  <c r="D7" i="6"/>
  <c r="E12" i="6"/>
  <c r="H12" i="6" s="1"/>
  <c r="N55" i="1"/>
  <c r="N56" i="1"/>
  <c r="D57" i="1"/>
  <c r="D56" i="1"/>
  <c r="M43" i="1"/>
  <c r="E38" i="16" l="1"/>
  <c r="F38" i="16"/>
  <c r="D39" i="16" s="1"/>
  <c r="M57" i="1"/>
  <c r="N57" i="1" s="1"/>
  <c r="AA40" i="9"/>
  <c r="AC40" i="9" s="1"/>
  <c r="G13" i="16"/>
  <c r="D52" i="16"/>
  <c r="H12" i="16"/>
  <c r="F13" i="16"/>
  <c r="E13" i="16"/>
  <c r="C14" i="16" s="1"/>
  <c r="D55" i="9"/>
  <c r="E55" i="9" s="1"/>
  <c r="D56" i="9" s="1"/>
  <c r="P60" i="9"/>
  <c r="Q60" i="9" s="1"/>
  <c r="P61" i="9" s="1"/>
  <c r="F15" i="9"/>
  <c r="C16" i="9"/>
  <c r="C17" i="9" s="1"/>
  <c r="C18" i="9" s="1"/>
  <c r="Z15" i="9"/>
  <c r="Z16" i="9" s="1"/>
  <c r="Z17" i="9" s="1"/>
  <c r="Z18" i="9" s="1"/>
  <c r="F40" i="9"/>
  <c r="E40" i="9"/>
  <c r="Q46" i="9"/>
  <c r="R46" i="9"/>
  <c r="P47" i="9" s="1"/>
  <c r="E15" i="9"/>
  <c r="D16" i="9" s="1"/>
  <c r="H14" i="9"/>
  <c r="Q21" i="9"/>
  <c r="P22" i="9" s="1"/>
  <c r="P23" i="9" s="1"/>
  <c r="R21" i="9"/>
  <c r="T20" i="9"/>
  <c r="AE14" i="9"/>
  <c r="AA54" i="9"/>
  <c r="AC16" i="9"/>
  <c r="D32" i="6"/>
  <c r="F32" i="6" s="1"/>
  <c r="C13" i="6"/>
  <c r="E13" i="6" s="1"/>
  <c r="D46" i="6"/>
  <c r="E46" i="6" s="1"/>
  <c r="D47" i="6" s="1"/>
  <c r="E47" i="6" s="1"/>
  <c r="C58" i="1"/>
  <c r="AB40" i="9" l="1"/>
  <c r="D41" i="9"/>
  <c r="AB15" i="9"/>
  <c r="E52" i="16"/>
  <c r="D53" i="16" s="1"/>
  <c r="F39" i="16"/>
  <c r="E39" i="16"/>
  <c r="H13" i="16"/>
  <c r="F14" i="16"/>
  <c r="D40" i="16"/>
  <c r="G14" i="16"/>
  <c r="E56" i="9"/>
  <c r="D57" i="9" s="1"/>
  <c r="Q61" i="9"/>
  <c r="P62" i="9" s="1"/>
  <c r="AB54" i="9"/>
  <c r="AA55" i="9" s="1"/>
  <c r="AC15" i="9"/>
  <c r="AE15" i="9"/>
  <c r="AA16" i="9"/>
  <c r="AD16" i="9" s="1"/>
  <c r="E41" i="9"/>
  <c r="F41" i="9"/>
  <c r="R47" i="9"/>
  <c r="Q47" i="9"/>
  <c r="F16" i="9"/>
  <c r="G16" i="9"/>
  <c r="H15" i="9"/>
  <c r="R22" i="9"/>
  <c r="T21" i="9"/>
  <c r="S22" i="9"/>
  <c r="AA41" i="9"/>
  <c r="AC41" i="9" s="1"/>
  <c r="AC17" i="9"/>
  <c r="E32" i="6"/>
  <c r="D33" i="6" s="1"/>
  <c r="H13" i="6"/>
  <c r="D14" i="6"/>
  <c r="C14" i="6"/>
  <c r="F13" i="6"/>
  <c r="D48" i="6"/>
  <c r="E48" i="6" s="1"/>
  <c r="G14" i="6"/>
  <c r="M58" i="1"/>
  <c r="N58" i="1" s="1"/>
  <c r="D58" i="1"/>
  <c r="C59" i="1" s="1"/>
  <c r="F33" i="6" l="1"/>
  <c r="E53" i="16"/>
  <c r="D54" i="16" s="1"/>
  <c r="F40" i="16"/>
  <c r="E40" i="16"/>
  <c r="D41" i="16"/>
  <c r="E14" i="16"/>
  <c r="C15" i="16" s="1"/>
  <c r="C16" i="16" s="1"/>
  <c r="E57" i="9"/>
  <c r="D58" i="9" s="1"/>
  <c r="Q62" i="9"/>
  <c r="P63" i="9" s="1"/>
  <c r="AB55" i="9"/>
  <c r="AA56" i="9" s="1"/>
  <c r="P48" i="9"/>
  <c r="Q48" i="9" s="1"/>
  <c r="D42" i="9"/>
  <c r="E42" i="9"/>
  <c r="AB41" i="9"/>
  <c r="AA42" i="9" s="1"/>
  <c r="E16" i="9"/>
  <c r="D17" i="9" s="1"/>
  <c r="F17" i="9"/>
  <c r="Q22" i="9"/>
  <c r="O23" i="9" s="1"/>
  <c r="O24" i="9" s="1"/>
  <c r="AC18" i="9"/>
  <c r="AB16" i="9"/>
  <c r="E33" i="6"/>
  <c r="D34" i="6" s="1"/>
  <c r="C15" i="6"/>
  <c r="F14" i="6"/>
  <c r="E14" i="6"/>
  <c r="D49" i="6"/>
  <c r="E49" i="6" s="1"/>
  <c r="M59" i="1"/>
  <c r="N59" i="1" s="1"/>
  <c r="D59" i="1"/>
  <c r="C60" i="1" s="1"/>
  <c r="D60" i="1" s="1"/>
  <c r="C61" i="1" s="1"/>
  <c r="D61" i="1" s="1"/>
  <c r="R48" i="9" l="1"/>
  <c r="E34" i="6"/>
  <c r="F34" i="6"/>
  <c r="E54" i="16"/>
  <c r="D55" i="16" s="1"/>
  <c r="F41" i="16"/>
  <c r="E41" i="16"/>
  <c r="H14" i="16"/>
  <c r="F15" i="16"/>
  <c r="G15" i="16"/>
  <c r="E58" i="9"/>
  <c r="Q63" i="9"/>
  <c r="P64" i="9" s="1"/>
  <c r="AB56" i="9"/>
  <c r="AA57" i="9" s="1"/>
  <c r="AC42" i="9"/>
  <c r="F42" i="9"/>
  <c r="D43" i="9" s="1"/>
  <c r="AE16" i="9"/>
  <c r="AA17" i="9"/>
  <c r="AD17" i="9" s="1"/>
  <c r="R24" i="9"/>
  <c r="O25" i="9"/>
  <c r="O26" i="9" s="1"/>
  <c r="R23" i="9"/>
  <c r="AB42" i="9"/>
  <c r="F18" i="9"/>
  <c r="H16" i="9"/>
  <c r="T22" i="9"/>
  <c r="H14" i="6"/>
  <c r="D15" i="6"/>
  <c r="G15" i="6" s="1"/>
  <c r="C16" i="6"/>
  <c r="F15" i="6"/>
  <c r="AB57" i="9" l="1"/>
  <c r="AA58" i="9"/>
  <c r="AA43" i="9"/>
  <c r="E55" i="16"/>
  <c r="D56" i="16" s="1"/>
  <c r="E15" i="16"/>
  <c r="D16" i="16" s="1"/>
  <c r="D17" i="16" s="1"/>
  <c r="Q64" i="9"/>
  <c r="AB43" i="9"/>
  <c r="AC43" i="9"/>
  <c r="E43" i="9"/>
  <c r="F43" i="9"/>
  <c r="O27" i="9"/>
  <c r="R26" i="9"/>
  <c r="G17" i="9"/>
  <c r="E17" i="9"/>
  <c r="D18" i="9" s="1"/>
  <c r="D19" i="9" s="1"/>
  <c r="S23" i="9"/>
  <c r="Q23" i="9"/>
  <c r="P24" i="9" s="1"/>
  <c r="AB17" i="9"/>
  <c r="E15" i="6"/>
  <c r="AB58" i="9" l="1"/>
  <c r="AA59" i="9" s="1"/>
  <c r="AB59" i="9" s="1"/>
  <c r="AA60" i="9" s="1"/>
  <c r="AB60" i="9" s="1"/>
  <c r="AA44" i="9"/>
  <c r="E56" i="16"/>
  <c r="H15" i="16"/>
  <c r="G16" i="16"/>
  <c r="AC44" i="9"/>
  <c r="AB44" i="9"/>
  <c r="R27" i="9"/>
  <c r="AE17" i="9"/>
  <c r="AA18" i="9"/>
  <c r="AA19" i="9" s="1"/>
  <c r="AA20" i="9" s="1"/>
  <c r="S24" i="9"/>
  <c r="Q24" i="9"/>
  <c r="D44" i="9"/>
  <c r="H17" i="9"/>
  <c r="E18" i="9"/>
  <c r="C19" i="9" s="1"/>
  <c r="C20" i="9" s="1"/>
  <c r="C21" i="9" s="1"/>
  <c r="C22" i="9" s="1"/>
  <c r="C23" i="9" s="1"/>
  <c r="C24" i="9" s="1"/>
  <c r="T23" i="9"/>
  <c r="H15" i="6"/>
  <c r="D16" i="6"/>
  <c r="F16" i="6"/>
  <c r="F16" i="16" l="1"/>
  <c r="E16" i="16"/>
  <c r="C17" i="16" s="1"/>
  <c r="C18" i="16" s="1"/>
  <c r="AA21" i="9"/>
  <c r="AD20" i="9"/>
  <c r="E44" i="9"/>
  <c r="F44" i="9"/>
  <c r="P25" i="9"/>
  <c r="S25" i="9" s="1"/>
  <c r="T24" i="9"/>
  <c r="AD18" i="9"/>
  <c r="G18" i="9"/>
  <c r="AD19" i="9"/>
  <c r="AB18" i="9"/>
  <c r="D17" i="6"/>
  <c r="G16" i="6"/>
  <c r="E16" i="6"/>
  <c r="H16" i="16" l="1"/>
  <c r="G17" i="16"/>
  <c r="F17" i="16"/>
  <c r="AE18" i="9"/>
  <c r="Z19" i="9"/>
  <c r="AD21" i="9"/>
  <c r="AA22" i="9"/>
  <c r="AD22" i="9" s="1"/>
  <c r="G19" i="9"/>
  <c r="H18" i="9"/>
  <c r="AC19" i="9"/>
  <c r="H16" i="6"/>
  <c r="C17" i="6"/>
  <c r="F17" i="6" s="1"/>
  <c r="G17" i="6"/>
  <c r="E17" i="16" l="1"/>
  <c r="D18" i="16" s="1"/>
  <c r="D19" i="16" s="1"/>
  <c r="D20" i="16" s="1"/>
  <c r="R25" i="9"/>
  <c r="Q25" i="9"/>
  <c r="E19" i="9"/>
  <c r="D20" i="9" s="1"/>
  <c r="G20" i="9" s="1"/>
  <c r="F19" i="9"/>
  <c r="AB19" i="9"/>
  <c r="Z20" i="9" s="1"/>
  <c r="E17" i="6"/>
  <c r="H17" i="6" s="1"/>
  <c r="H17" i="16" l="1"/>
  <c r="F18" i="16"/>
  <c r="T25" i="9"/>
  <c r="P26" i="9"/>
  <c r="AB20" i="9"/>
  <c r="AC20" i="9"/>
  <c r="H19" i="9"/>
  <c r="AE19" i="9"/>
  <c r="G18" i="16" l="1"/>
  <c r="E18" i="16"/>
  <c r="C19" i="16" s="1"/>
  <c r="Z21" i="9"/>
  <c r="AE20" i="9"/>
  <c r="S26" i="9"/>
  <c r="Q26" i="9"/>
  <c r="E20" i="9"/>
  <c r="D21" i="9" s="1"/>
  <c r="G21" i="9" s="1"/>
  <c r="F20" i="9"/>
  <c r="G19" i="16" l="1"/>
  <c r="H18" i="16"/>
  <c r="F19" i="16"/>
  <c r="T26" i="9"/>
  <c r="P27" i="9"/>
  <c r="AC21" i="9"/>
  <c r="AB21" i="9"/>
  <c r="H20" i="9"/>
  <c r="E19" i="16" l="1"/>
  <c r="Z22" i="9"/>
  <c r="AE21" i="9"/>
  <c r="P28" i="9"/>
  <c r="S28" i="9" s="1"/>
  <c r="S27" i="9"/>
  <c r="Q27" i="9"/>
  <c r="F21" i="9"/>
  <c r="E21" i="9"/>
  <c r="D22" i="9" s="1"/>
  <c r="G22" i="9" s="1"/>
  <c r="G20" i="16" l="1"/>
  <c r="C20" i="16"/>
  <c r="C21" i="16" s="1"/>
  <c r="C22" i="16" s="1"/>
  <c r="H19" i="16"/>
  <c r="T27" i="9"/>
  <c r="O28" i="9"/>
  <c r="AC22" i="9"/>
  <c r="AB22" i="9"/>
  <c r="AE22" i="9" s="1"/>
  <c r="H21" i="9"/>
  <c r="F20" i="16" l="1"/>
  <c r="E20" i="16"/>
  <c r="D21" i="16" s="1"/>
  <c r="Q28" i="9"/>
  <c r="T28" i="9" s="1"/>
  <c r="R28" i="9"/>
  <c r="E22" i="9"/>
  <c r="D23" i="9" s="1"/>
  <c r="G23" i="9" s="1"/>
  <c r="F22" i="9"/>
  <c r="G21" i="16" l="1"/>
  <c r="E21" i="16"/>
  <c r="D22" i="16" s="1"/>
  <c r="D23" i="16" s="1"/>
  <c r="F21" i="16"/>
  <c r="H20" i="16"/>
  <c r="H22" i="9"/>
  <c r="N43" i="1"/>
  <c r="E43" i="1"/>
  <c r="D43" i="1"/>
  <c r="C10" i="1"/>
  <c r="N19" i="1"/>
  <c r="N20" i="1" s="1"/>
  <c r="O12" i="1"/>
  <c r="O11" i="1"/>
  <c r="Q18" i="1"/>
  <c r="P18" i="1"/>
  <c r="O18" i="1"/>
  <c r="R18" i="1" s="1"/>
  <c r="B15" i="1"/>
  <c r="B16" i="1" s="1"/>
  <c r="F14" i="1"/>
  <c r="E14" i="1"/>
  <c r="D14" i="1"/>
  <c r="C15" i="1" s="1"/>
  <c r="C11" i="1"/>
  <c r="M19" i="1" l="1"/>
  <c r="P19" i="1" s="1"/>
  <c r="F22" i="16"/>
  <c r="H21" i="16"/>
  <c r="G22" i="16"/>
  <c r="E23" i="9"/>
  <c r="D24" i="9" s="1"/>
  <c r="F23" i="9"/>
  <c r="L44" i="1"/>
  <c r="C44" i="1"/>
  <c r="E44" i="1" s="1"/>
  <c r="E15" i="1"/>
  <c r="D15" i="1"/>
  <c r="F15" i="1"/>
  <c r="G14" i="1"/>
  <c r="B17" i="1"/>
  <c r="E16" i="1"/>
  <c r="D44" i="1" l="1"/>
  <c r="C45" i="1" s="1"/>
  <c r="E22" i="16"/>
  <c r="C23" i="16" s="1"/>
  <c r="D25" i="9"/>
  <c r="G25" i="9" s="1"/>
  <c r="G24" i="9"/>
  <c r="H23" i="9"/>
  <c r="N44" i="1"/>
  <c r="M44" i="1"/>
  <c r="E17" i="1"/>
  <c r="C16" i="1"/>
  <c r="G15" i="1"/>
  <c r="O19" i="1"/>
  <c r="M20" i="1" s="1"/>
  <c r="Q19" i="1"/>
  <c r="E45" i="1" l="1"/>
  <c r="D45" i="1"/>
  <c r="L45" i="1"/>
  <c r="M45" i="1" s="1"/>
  <c r="F23" i="16"/>
  <c r="H22" i="16"/>
  <c r="F24" i="9"/>
  <c r="E24" i="9"/>
  <c r="C25" i="9" s="1"/>
  <c r="C26" i="9" s="1"/>
  <c r="N45" i="1"/>
  <c r="P20" i="1"/>
  <c r="M21" i="1"/>
  <c r="F16" i="1"/>
  <c r="D16" i="1"/>
  <c r="R19" i="1"/>
  <c r="L46" i="1" l="1"/>
  <c r="M46" i="1" s="1"/>
  <c r="G23" i="16"/>
  <c r="E23" i="16"/>
  <c r="C27" i="9"/>
  <c r="F26" i="9"/>
  <c r="H24" i="9"/>
  <c r="N46" i="1"/>
  <c r="M22" i="1"/>
  <c r="P21" i="1"/>
  <c r="C17" i="1"/>
  <c r="G16" i="1"/>
  <c r="Q20" i="1"/>
  <c r="O20" i="1"/>
  <c r="H23" i="16" l="1"/>
  <c r="F27" i="9"/>
  <c r="F25" i="9"/>
  <c r="E25" i="9"/>
  <c r="F17" i="1"/>
  <c r="C18" i="1"/>
  <c r="F18" i="1" s="1"/>
  <c r="D17" i="1"/>
  <c r="R20" i="1"/>
  <c r="N21" i="1"/>
  <c r="H25" i="9" l="1"/>
  <c r="D26" i="9"/>
  <c r="G17" i="1"/>
  <c r="B18" i="1"/>
  <c r="Q21" i="1"/>
  <c r="O21" i="1"/>
  <c r="N22" i="1" s="1"/>
  <c r="N23" i="1" s="1"/>
  <c r="G26" i="9" l="1"/>
  <c r="E26" i="9"/>
  <c r="D18" i="1"/>
  <c r="E18" i="1"/>
  <c r="B19" i="1"/>
  <c r="Q22" i="1"/>
  <c r="R21" i="1"/>
  <c r="H26" i="9" l="1"/>
  <c r="D27" i="9"/>
  <c r="G18" i="1"/>
  <c r="C19" i="1"/>
  <c r="E19" i="1"/>
  <c r="P22" i="1"/>
  <c r="O22" i="1"/>
  <c r="M23" i="1" s="1"/>
  <c r="M24" i="1" s="1"/>
  <c r="G27" i="9" l="1"/>
  <c r="E27" i="9"/>
  <c r="H27" i="9" s="1"/>
  <c r="C20" i="1"/>
  <c r="F20" i="1" s="1"/>
  <c r="F19" i="1"/>
  <c r="D19" i="1"/>
  <c r="P23" i="1"/>
  <c r="R22" i="1"/>
  <c r="B20" i="1" l="1"/>
  <c r="G19" i="1"/>
  <c r="Q23" i="1"/>
  <c r="O23" i="1"/>
  <c r="N24" i="1" s="1"/>
  <c r="N25" i="1" s="1"/>
  <c r="N26" i="1" s="1"/>
  <c r="N27" i="1" s="1"/>
  <c r="N28" i="1" s="1"/>
  <c r="N29" i="1" s="1"/>
  <c r="N30" i="1" s="1"/>
  <c r="Q24" i="1" l="1"/>
  <c r="B21" i="1"/>
  <c r="E20" i="1"/>
  <c r="D20" i="1"/>
  <c r="R23" i="1"/>
  <c r="G20" i="1" l="1"/>
  <c r="C21" i="1"/>
  <c r="E21" i="1"/>
  <c r="P24" i="1"/>
  <c r="O24" i="1"/>
  <c r="M25" i="1" s="1"/>
  <c r="F21" i="1" l="1"/>
  <c r="C22" i="1"/>
  <c r="F22" i="1" s="1"/>
  <c r="D21" i="1"/>
  <c r="R24" i="1"/>
  <c r="O25" i="1"/>
  <c r="M26" i="1" s="1"/>
  <c r="P25" i="1"/>
  <c r="G21" i="1" l="1"/>
  <c r="B22" i="1"/>
  <c r="R25" i="1"/>
  <c r="Q25" i="1"/>
  <c r="Q26" i="1"/>
  <c r="E22" i="1" l="1"/>
  <c r="D22" i="1"/>
  <c r="B23" i="1"/>
  <c r="P26" i="1"/>
  <c r="O26" i="1"/>
  <c r="M27" i="1" s="1"/>
  <c r="G22" i="1" l="1"/>
  <c r="C23" i="1"/>
  <c r="F23" i="1" s="1"/>
  <c r="E23" i="1"/>
  <c r="B24" i="1"/>
  <c r="R26" i="1"/>
  <c r="Q27" i="1"/>
  <c r="P27" i="1"/>
  <c r="E24" i="1" l="1"/>
  <c r="B25" i="1"/>
  <c r="D23" i="1"/>
  <c r="O27" i="1"/>
  <c r="M28" i="1" s="1"/>
  <c r="P28" i="1" s="1"/>
  <c r="G23" i="1" l="1"/>
  <c r="C24" i="1"/>
  <c r="E25" i="1"/>
  <c r="B26" i="1"/>
  <c r="Q28" i="1"/>
  <c r="O28" i="1"/>
  <c r="M29" i="1" s="1"/>
  <c r="R27" i="1"/>
  <c r="P29" i="1"/>
  <c r="R28" i="1"/>
  <c r="Q29" i="1"/>
  <c r="E26" i="1" l="1"/>
  <c r="F24" i="1"/>
  <c r="D24" i="1"/>
  <c r="O29" i="1"/>
  <c r="M30" i="1" s="1"/>
  <c r="P30" i="1" s="1"/>
  <c r="C25" i="1" l="1"/>
  <c r="G24" i="1"/>
  <c r="R29" i="1"/>
  <c r="F25" i="1" l="1"/>
  <c r="D25" i="1"/>
  <c r="Q30" i="1"/>
  <c r="O30" i="1"/>
  <c r="R30" i="1" s="1"/>
  <c r="G25" i="1" l="1"/>
  <c r="C26" i="1"/>
  <c r="F26" i="1" l="1"/>
  <c r="D26" i="1"/>
  <c r="G26" i="1" s="1"/>
</calcChain>
</file>

<file path=xl/sharedStrings.xml><?xml version="1.0" encoding="utf-8"?>
<sst xmlns="http://schemas.openxmlformats.org/spreadsheetml/2006/main" count="242" uniqueCount="42">
  <si>
    <t>a</t>
  </si>
  <si>
    <t>b</t>
  </si>
  <si>
    <t>c</t>
  </si>
  <si>
    <t>f(a)</t>
  </si>
  <si>
    <t>f(b)</t>
  </si>
  <si>
    <t>f(c)</t>
  </si>
  <si>
    <t>x</t>
  </si>
  <si>
    <t>f(x)</t>
  </si>
  <si>
    <t>f'(x)</t>
  </si>
  <si>
    <t>NEWTON</t>
  </si>
  <si>
    <t>f(x)=x^(3)-ℯ^(0.8 x)-20</t>
  </si>
  <si>
    <t>tol=0,0005</t>
  </si>
  <si>
    <t>f (  c  )  &lt; tol , entonces c es la raiz</t>
  </si>
  <si>
    <t>raiz</t>
  </si>
  <si>
    <t>BISECCION 1ra RAIZ</t>
  </si>
  <si>
    <t>BISECCION 2da RAIZ</t>
  </si>
  <si>
    <t>1ra RAIZ</t>
  </si>
  <si>
    <t>2da RAIZ</t>
  </si>
  <si>
    <t>hasta que f(x) &lt; tol</t>
  </si>
  <si>
    <t>SECANTE</t>
  </si>
  <si>
    <t>#</t>
  </si>
  <si>
    <t>tol</t>
  </si>
  <si>
    <t>f(x)= 3*sen(0.5 x)-0.5 x+2</t>
  </si>
  <si>
    <t>BISECCION</t>
  </si>
  <si>
    <r>
      <t xml:space="preserve">BISECCION </t>
    </r>
    <r>
      <rPr>
        <sz val="11"/>
        <color theme="1"/>
        <rFont val="Calibri"/>
        <family val="2"/>
        <scheme val="minor"/>
      </rPr>
      <t>1ra raiz</t>
    </r>
  </si>
  <si>
    <t>f(x)=  x^(3)-x^(2) ℯ^(-0.5 x)-3 x+1</t>
  </si>
  <si>
    <t>3ra RAIZ</t>
  </si>
  <si>
    <t>f(x) = cos^2 x - 0.5x e^(0.3x) + 5</t>
  </si>
  <si>
    <t>x2= x1-f(x1) ((x1-x0)/(f(x1) - f(x0))</t>
  </si>
  <si>
    <t>3RA RAIZ</t>
  </si>
  <si>
    <t>RAICES EXACTAS</t>
  </si>
  <si>
    <t>r2= 7,489838</t>
  </si>
  <si>
    <t>r1=  3,20821</t>
  </si>
  <si>
    <t>RAIZ EXACTA</t>
  </si>
  <si>
    <t>r1=  5,706417</t>
  </si>
  <si>
    <t>r2= 0,315466</t>
  </si>
  <si>
    <t>r3= 1,780240</t>
  </si>
  <si>
    <t>r1=  3,7256</t>
  </si>
  <si>
    <t>analiticamente</t>
  </si>
  <si>
    <r>
      <t xml:space="preserve">BISECCION </t>
    </r>
    <r>
      <rPr>
        <sz val="11"/>
        <color theme="1"/>
        <rFont val="Calibri"/>
        <family val="2"/>
        <scheme val="minor"/>
      </rPr>
      <t>2da raiz</t>
    </r>
  </si>
  <si>
    <r>
      <t xml:space="preserve">BISECCION </t>
    </r>
    <r>
      <rPr>
        <sz val="11"/>
        <color theme="1"/>
        <rFont val="Calibri"/>
        <family val="2"/>
        <scheme val="minor"/>
      </rPr>
      <t>3ra raiz</t>
    </r>
  </si>
  <si>
    <t>r1=  -1,23409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</si>
</sst>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1" xfId="0" applyBorder="1"/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4" fillId="0" borderId="0" xfId="0" applyFont="1"/>
    <xf numFmtId="0" fontId="3" fillId="2" borderId="0" xfId="0" applyFont="1" applyFill="1"/>
    <xf numFmtId="0" fontId="5" fillId="0" borderId="0" xfId="0" applyFont="1" applyAlignment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1" xfId="0" applyFont="1" applyFill="1" applyBorder="1" applyAlignment="1">
      <alignment horizontal="center" vertical="top"/>
    </xf>
    <xf numFmtId="0" fontId="1" fillId="6" borderId="0" xfId="0" applyFont="1" applyFill="1" applyAlignment="1">
      <alignment horizontal="center" vertical="top"/>
    </xf>
    <xf numFmtId="0" fontId="0" fillId="6" borderId="1" xfId="0" applyFill="1" applyBorder="1" applyAlignment="1">
      <alignment horizontal="center"/>
    </xf>
    <xf numFmtId="0" fontId="0" fillId="7" borderId="0" xfId="0" applyFill="1"/>
    <xf numFmtId="0" fontId="1" fillId="7" borderId="1" xfId="0" applyFont="1" applyFill="1" applyBorder="1" applyAlignment="1">
      <alignment horizontal="center" vertical="top"/>
    </xf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 vertical="top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" fillId="9" borderId="1" xfId="0" applyFont="1" applyFill="1" applyBorder="1" applyAlignment="1">
      <alignment horizontal="center" vertical="top"/>
    </xf>
    <xf numFmtId="0" fontId="1" fillId="9" borderId="2" xfId="0" applyFont="1" applyFill="1" applyBorder="1" applyAlignment="1">
      <alignment horizontal="center" vertical="top"/>
    </xf>
    <xf numFmtId="0" fontId="0" fillId="9" borderId="0" xfId="0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46</xdr:row>
      <xdr:rowOff>0</xdr:rowOff>
    </xdr:from>
    <xdr:to>
      <xdr:col>5</xdr:col>
      <xdr:colOff>304800</xdr:colOff>
      <xdr:row>47</xdr:row>
      <xdr:rowOff>114299</xdr:rowOff>
    </xdr:to>
    <xdr:sp macro="" textlink="">
      <xdr:nvSpPr>
        <xdr:cNvPr id="1025" name="AutoShape 1" descr="Imagen de salida">
          <a:extLst>
            <a:ext uri="{FF2B5EF4-FFF2-40B4-BE49-F238E27FC236}">
              <a16:creationId xmlns:a16="http://schemas.microsoft.com/office/drawing/2014/main" id="{312B07B4-F961-C660-8F2D-FE570F56C79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304800</xdr:colOff>
      <xdr:row>33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D50A059-A3D8-7CAB-C5EE-8C84B977EDE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227013</xdr:colOff>
      <xdr:row>0</xdr:row>
      <xdr:rowOff>66146</xdr:rowOff>
    </xdr:from>
    <xdr:to>
      <xdr:col>7</xdr:col>
      <xdr:colOff>135794</xdr:colOff>
      <xdr:row>4</xdr:row>
      <xdr:rowOff>151871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F1F99B-4F85-A258-EF7A-0C64855D35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2660"/>
        <a:stretch>
          <a:fillRect/>
        </a:stretch>
      </xdr:blipFill>
      <xdr:spPr>
        <a:xfrm>
          <a:off x="227013" y="66146"/>
          <a:ext cx="4816802" cy="82655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15</xdr:row>
      <xdr:rowOff>114300</xdr:rowOff>
    </xdr:to>
    <xdr:sp macro="" textlink="">
      <xdr:nvSpPr>
        <xdr:cNvPr id="2" name="AutoShape 1" descr="Imagen de salida">
          <a:extLst>
            <a:ext uri="{FF2B5EF4-FFF2-40B4-BE49-F238E27FC236}">
              <a16:creationId xmlns:a16="http://schemas.microsoft.com/office/drawing/2014/main" id="{2C35A606-6B9F-151D-432E-CAC12187642A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194028</xdr:colOff>
      <xdr:row>3</xdr:row>
      <xdr:rowOff>1</xdr:rowOff>
    </xdr:from>
    <xdr:to>
      <xdr:col>19</xdr:col>
      <xdr:colOff>275040</xdr:colOff>
      <xdr:row>14</xdr:row>
      <xdr:rowOff>30485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D1A7D65-DF11-8582-E420-363E16E2F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71528" y="1"/>
          <a:ext cx="3400415" cy="2067776"/>
        </a:xfrm>
        <a:prstGeom prst="rect">
          <a:avLst/>
        </a:prstGeom>
      </xdr:spPr>
    </xdr:pic>
    <xdr:clientData/>
  </xdr:twoCellAnchor>
  <xdr:twoCellAnchor editAs="oneCell">
    <xdr:from>
      <xdr:col>20</xdr:col>
      <xdr:colOff>382780</xdr:colOff>
      <xdr:row>3</xdr:row>
      <xdr:rowOff>155300</xdr:rowOff>
    </xdr:from>
    <xdr:to>
      <xdr:col>26</xdr:col>
      <xdr:colOff>255367</xdr:colOff>
      <xdr:row>16</xdr:row>
      <xdr:rowOff>145725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7620C6-55B2-A9BF-4300-E6451FE69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26425" y="155300"/>
          <a:ext cx="3781800" cy="2420635"/>
        </a:xfrm>
        <a:prstGeom prst="rect">
          <a:avLst/>
        </a:prstGeom>
      </xdr:spPr>
    </xdr:pic>
    <xdr:clientData/>
  </xdr:twoCellAnchor>
  <xdr:twoCellAnchor editAs="oneCell">
    <xdr:from>
      <xdr:col>21</xdr:col>
      <xdr:colOff>267056</xdr:colOff>
      <xdr:row>7</xdr:row>
      <xdr:rowOff>176006</xdr:rowOff>
    </xdr:from>
    <xdr:to>
      <xdr:col>22</xdr:col>
      <xdr:colOff>443162</xdr:colOff>
      <xdr:row>16</xdr:row>
      <xdr:rowOff>127742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611825B-E393-B747-5847-F8A710377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16028" y="923763"/>
          <a:ext cx="790377" cy="1634189"/>
        </a:xfrm>
        <a:prstGeom prst="rect">
          <a:avLst/>
        </a:prstGeom>
      </xdr:spPr>
    </xdr:pic>
    <xdr:clientData/>
  </xdr:twoCellAnchor>
  <xdr:twoCellAnchor editAs="oneCell">
    <xdr:from>
      <xdr:col>2</xdr:col>
      <xdr:colOff>324115</xdr:colOff>
      <xdr:row>36</xdr:row>
      <xdr:rowOff>33233</xdr:rowOff>
    </xdr:from>
    <xdr:to>
      <xdr:col>3</xdr:col>
      <xdr:colOff>592535</xdr:colOff>
      <xdr:row>40</xdr:row>
      <xdr:rowOff>301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8FAFCB3-9780-A0FA-85E3-E837F88A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4428" y="6363389"/>
          <a:ext cx="890190" cy="727745"/>
        </a:xfrm>
        <a:prstGeom prst="rect">
          <a:avLst/>
        </a:prstGeom>
      </xdr:spPr>
    </xdr:pic>
    <xdr:clientData/>
  </xdr:twoCellAnchor>
  <xdr:twoCellAnchor editAs="oneCell">
    <xdr:from>
      <xdr:col>12</xdr:col>
      <xdr:colOff>271197</xdr:colOff>
      <xdr:row>35</xdr:row>
      <xdr:rowOff>104384</xdr:rowOff>
    </xdr:from>
    <xdr:to>
      <xdr:col>14</xdr:col>
      <xdr:colOff>110641</xdr:colOff>
      <xdr:row>40</xdr:row>
      <xdr:rowOff>57666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2EC938E-6BD3-47BD-BF0A-3B35E639B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18072" y="6242717"/>
          <a:ext cx="1116059" cy="9123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562264</xdr:colOff>
      <xdr:row>4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929561-73C5-4CD0-9AA9-9AC61A0DF6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553" b="31915"/>
        <a:stretch>
          <a:fillRect/>
        </a:stretch>
      </xdr:blipFill>
      <xdr:spPr>
        <a:xfrm>
          <a:off x="0" y="190500"/>
          <a:ext cx="4829464" cy="457200"/>
        </a:xfrm>
        <a:prstGeom prst="rect">
          <a:avLst/>
        </a:prstGeom>
      </xdr:spPr>
    </xdr:pic>
    <xdr:clientData/>
  </xdr:twoCellAnchor>
  <xdr:twoCellAnchor editAs="oneCell">
    <xdr:from>
      <xdr:col>20</xdr:col>
      <xdr:colOff>307258</xdr:colOff>
      <xdr:row>3</xdr:row>
      <xdr:rowOff>27977</xdr:rowOff>
    </xdr:from>
    <xdr:to>
      <xdr:col>28</xdr:col>
      <xdr:colOff>203529</xdr:colOff>
      <xdr:row>14</xdr:row>
      <xdr:rowOff>70635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447DF3-79C5-37F9-5E99-A959BD8AA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97581" y="396687"/>
          <a:ext cx="4812400" cy="2070561"/>
        </a:xfrm>
        <a:prstGeom prst="rect">
          <a:avLst/>
        </a:prstGeom>
      </xdr:spPr>
    </xdr:pic>
    <xdr:clientData/>
  </xdr:twoCellAnchor>
  <xdr:twoCellAnchor editAs="oneCell">
    <xdr:from>
      <xdr:col>13</xdr:col>
      <xdr:colOff>114124</xdr:colOff>
      <xdr:row>1</xdr:row>
      <xdr:rowOff>43808</xdr:rowOff>
    </xdr:from>
    <xdr:to>
      <xdr:col>18</xdr:col>
      <xdr:colOff>200297</xdr:colOff>
      <xdr:row>11</xdr:row>
      <xdr:rowOff>194324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729558C-37CF-B625-CC4D-7C0162C42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6029" y="240356"/>
          <a:ext cx="3109982" cy="2115992"/>
        </a:xfrm>
        <a:prstGeom prst="rect">
          <a:avLst/>
        </a:prstGeom>
      </xdr:spPr>
    </xdr:pic>
    <xdr:clientData/>
  </xdr:twoCellAnchor>
  <xdr:twoCellAnchor editAs="oneCell">
    <xdr:from>
      <xdr:col>19</xdr:col>
      <xdr:colOff>116818</xdr:colOff>
      <xdr:row>9</xdr:row>
      <xdr:rowOff>103760</xdr:rowOff>
    </xdr:from>
    <xdr:to>
      <xdr:col>22</xdr:col>
      <xdr:colOff>399313</xdr:colOff>
      <xdr:row>17</xdr:row>
      <xdr:rowOff>180315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58B8277-FD34-F9F6-F2D4-34532B5B0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26535" y="1613383"/>
          <a:ext cx="2115608" cy="158617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304800</xdr:colOff>
      <xdr:row>35</xdr:row>
      <xdr:rowOff>114299</xdr:rowOff>
    </xdr:to>
    <xdr:sp macro="" textlink="">
      <xdr:nvSpPr>
        <xdr:cNvPr id="6" name="AutoShape 1" descr="Imagen de salida">
          <a:extLst>
            <a:ext uri="{FF2B5EF4-FFF2-40B4-BE49-F238E27FC236}">
              <a16:creationId xmlns:a16="http://schemas.microsoft.com/office/drawing/2014/main" id="{C8C53171-79A4-4AF6-AD55-EAAB51857C1B}"/>
            </a:ext>
          </a:extLst>
        </xdr:cNvPr>
        <xdr:cNvSpPr>
          <a:spLocks noChangeAspect="1" noChangeArrowheads="1"/>
        </xdr:cNvSpPr>
      </xdr:nvSpPr>
      <xdr:spPr bwMode="auto">
        <a:xfrm>
          <a:off x="3362325" y="8191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157266</xdr:colOff>
      <xdr:row>23</xdr:row>
      <xdr:rowOff>87731</xdr:rowOff>
    </xdr:from>
    <xdr:to>
      <xdr:col>6</xdr:col>
      <xdr:colOff>93161</xdr:colOff>
      <xdr:row>28</xdr:row>
      <xdr:rowOff>22767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ECA53FB-E5D9-5D32-2D43-E57F8C34B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99602" y="6103520"/>
          <a:ext cx="1778230" cy="8750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352884</xdr:colOff>
      <xdr:row>1</xdr:row>
      <xdr:rowOff>118432</xdr:rowOff>
    </xdr:from>
    <xdr:to>
      <xdr:col>8</xdr:col>
      <xdr:colOff>305548</xdr:colOff>
      <xdr:row>3</xdr:row>
      <xdr:rowOff>194632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EC0432-E6E1-43B3-B3B7-6371841EE9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3" t="60639" r="-3353" b="13829"/>
        <a:stretch>
          <a:fillRect/>
        </a:stretch>
      </xdr:blipFill>
      <xdr:spPr>
        <a:xfrm>
          <a:off x="352884" y="313522"/>
          <a:ext cx="4818447" cy="466381"/>
        </a:xfrm>
        <a:prstGeom prst="rect">
          <a:avLst/>
        </a:prstGeom>
      </xdr:spPr>
    </xdr:pic>
    <xdr:clientData/>
  </xdr:twoCellAnchor>
  <xdr:twoCellAnchor editAs="oneCell">
    <xdr:from>
      <xdr:col>13</xdr:col>
      <xdr:colOff>339721</xdr:colOff>
      <xdr:row>1</xdr:row>
      <xdr:rowOff>22952</xdr:rowOff>
    </xdr:from>
    <xdr:to>
      <xdr:col>20</xdr:col>
      <xdr:colOff>587284</xdr:colOff>
      <xdr:row>10</xdr:row>
      <xdr:rowOff>170245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21B47E3-8744-8BBE-C886-215094E07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6619" y="218042"/>
          <a:ext cx="4505123" cy="1903107"/>
        </a:xfrm>
        <a:prstGeom prst="rect">
          <a:avLst/>
        </a:prstGeom>
      </xdr:spPr>
    </xdr:pic>
    <xdr:clientData/>
  </xdr:twoCellAnchor>
  <xdr:oneCellAnchor>
    <xdr:from>
      <xdr:col>18</xdr:col>
      <xdr:colOff>0</xdr:colOff>
      <xdr:row>48</xdr:row>
      <xdr:rowOff>0</xdr:rowOff>
    </xdr:from>
    <xdr:ext cx="304800" cy="307374"/>
    <xdr:sp macro="" textlink="">
      <xdr:nvSpPr>
        <xdr:cNvPr id="7" name="AutoShape 1" descr="Imagen de salida">
          <a:extLst>
            <a:ext uri="{FF2B5EF4-FFF2-40B4-BE49-F238E27FC236}">
              <a16:creationId xmlns:a16="http://schemas.microsoft.com/office/drawing/2014/main" id="{9742C552-F536-41DE-95FC-A93AED255916}"/>
            </a:ext>
          </a:extLst>
        </xdr:cNvPr>
        <xdr:cNvSpPr>
          <a:spLocks noChangeAspect="1" noChangeArrowheads="1"/>
        </xdr:cNvSpPr>
      </xdr:nvSpPr>
      <xdr:spPr bwMode="auto">
        <a:xfrm>
          <a:off x="3629797" y="6757601"/>
          <a:ext cx="304800" cy="307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26</xdr:col>
      <xdr:colOff>47037</xdr:colOff>
      <xdr:row>31</xdr:row>
      <xdr:rowOff>49511</xdr:rowOff>
    </xdr:from>
    <xdr:to>
      <xdr:col>29</xdr:col>
      <xdr:colOff>233190</xdr:colOff>
      <xdr:row>35</xdr:row>
      <xdr:rowOff>174948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BCA0234-EA20-45F7-63B9-DF53C7DD3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1481" y="5129511"/>
          <a:ext cx="2020599" cy="878031"/>
        </a:xfrm>
        <a:prstGeom prst="rect">
          <a:avLst/>
        </a:prstGeom>
      </xdr:spPr>
    </xdr:pic>
    <xdr:clientData/>
  </xdr:twoCellAnchor>
  <xdr:twoCellAnchor editAs="oneCell">
    <xdr:from>
      <xdr:col>15</xdr:col>
      <xdr:colOff>241065</xdr:colOff>
      <xdr:row>37</xdr:row>
      <xdr:rowOff>41158</xdr:rowOff>
    </xdr:from>
    <xdr:to>
      <xdr:col>18</xdr:col>
      <xdr:colOff>427219</xdr:colOff>
      <xdr:row>41</xdr:row>
      <xdr:rowOff>166596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D95A6FE-52BD-4F89-B6FF-76AF24E98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13287" y="6438195"/>
          <a:ext cx="2020599" cy="878031"/>
        </a:xfrm>
        <a:prstGeom prst="rect">
          <a:avLst/>
        </a:prstGeom>
      </xdr:spPr>
    </xdr:pic>
    <xdr:clientData/>
  </xdr:twoCellAnchor>
  <xdr:twoCellAnchor editAs="oneCell">
    <xdr:from>
      <xdr:col>3</xdr:col>
      <xdr:colOff>88195</xdr:colOff>
      <xdr:row>31</xdr:row>
      <xdr:rowOff>123471</xdr:rowOff>
    </xdr:from>
    <xdr:to>
      <xdr:col>6</xdr:col>
      <xdr:colOff>274351</xdr:colOff>
      <xdr:row>36</xdr:row>
      <xdr:rowOff>60761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299CA33-9D45-4140-B956-09A5CECE7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98195" y="5391619"/>
          <a:ext cx="2020599" cy="8780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27476</xdr:colOff>
      <xdr:row>1</xdr:row>
      <xdr:rowOff>19781</xdr:rowOff>
    </xdr:from>
    <xdr:to>
      <xdr:col>7</xdr:col>
      <xdr:colOff>588847</xdr:colOff>
      <xdr:row>3</xdr:row>
      <xdr:rowOff>29082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7D3434-DDC5-28B7-F4B9-05A186E984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5" t="78202" r="-395" b="-1"/>
        <a:stretch>
          <a:fillRect/>
        </a:stretch>
      </xdr:blipFill>
      <xdr:spPr>
        <a:xfrm>
          <a:off x="27476" y="212113"/>
          <a:ext cx="4856780" cy="393964"/>
        </a:xfrm>
        <a:prstGeom prst="rect">
          <a:avLst/>
        </a:prstGeom>
      </xdr:spPr>
    </xdr:pic>
    <xdr:clientData/>
  </xdr:twoCellAnchor>
  <xdr:twoCellAnchor editAs="oneCell">
    <xdr:from>
      <xdr:col>12</xdr:col>
      <xdr:colOff>90582</xdr:colOff>
      <xdr:row>6</xdr:row>
      <xdr:rowOff>15578</xdr:rowOff>
    </xdr:from>
    <xdr:to>
      <xdr:col>21</xdr:col>
      <xdr:colOff>428604</xdr:colOff>
      <xdr:row>21</xdr:row>
      <xdr:rowOff>73868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A394421-7FCB-C0DE-DCCC-77DE71C2E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4140" y="1169568"/>
          <a:ext cx="5860690" cy="2943266"/>
        </a:xfrm>
        <a:prstGeom prst="rect">
          <a:avLst/>
        </a:prstGeom>
      </xdr:spPr>
    </xdr:pic>
    <xdr:clientData/>
  </xdr:twoCellAnchor>
  <xdr:twoCellAnchor editAs="oneCell">
    <xdr:from>
      <xdr:col>3</xdr:col>
      <xdr:colOff>162286</xdr:colOff>
      <xdr:row>29</xdr:row>
      <xdr:rowOff>54951</xdr:rowOff>
    </xdr:from>
    <xdr:to>
      <xdr:col>6</xdr:col>
      <xdr:colOff>255102</xdr:colOff>
      <xdr:row>33</xdr:row>
      <xdr:rowOff>142726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8B75334-B118-5108-B9E3-515B10B8F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3175" y="5247908"/>
          <a:ext cx="1933706" cy="857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zoomScale="71" zoomScaleNormal="190" workbookViewId="0">
      <selection activeCell="L16" sqref="L16:R30"/>
    </sheetView>
  </sheetViews>
  <sheetFormatPr baseColWidth="10" defaultColWidth="9.140625" defaultRowHeight="15" x14ac:dyDescent="0.25"/>
  <cols>
    <col min="2" max="3" width="9.28515625" bestFit="1" customWidth="1"/>
    <col min="4" max="4" width="13.28515625" bestFit="1" customWidth="1"/>
    <col min="5" max="6" width="9.42578125" bestFit="1" customWidth="1"/>
    <col min="7" max="7" width="13.5703125" bestFit="1" customWidth="1"/>
    <col min="8" max="8" width="13.5703125" customWidth="1"/>
    <col min="9" max="9" width="13.5703125" style="15" customWidth="1"/>
    <col min="12" max="12" width="9.42578125" bestFit="1" customWidth="1"/>
    <col min="13" max="13" width="9.7109375" bestFit="1" customWidth="1"/>
    <col min="14" max="15" width="9.42578125" bestFit="1" customWidth="1"/>
    <col min="16" max="16" width="11.42578125" customWidth="1"/>
    <col min="17" max="17" width="13.85546875" customWidth="1"/>
    <col min="18" max="18" width="15" customWidth="1"/>
    <col min="20" max="20" width="9.28515625" bestFit="1" customWidth="1"/>
    <col min="21" max="21" width="13.140625" bestFit="1" customWidth="1"/>
    <col min="22" max="22" width="9.28515625" bestFit="1" customWidth="1"/>
  </cols>
  <sheetData>
    <row r="1" spans="1:15" x14ac:dyDescent="0.25">
      <c r="J1" t="s">
        <v>38</v>
      </c>
    </row>
    <row r="2" spans="1:15" x14ac:dyDescent="0.25">
      <c r="J2" s="7" t="s">
        <v>30</v>
      </c>
    </row>
    <row r="3" spans="1:15" x14ac:dyDescent="0.25">
      <c r="J3" s="7" t="s">
        <v>32</v>
      </c>
    </row>
    <row r="4" spans="1:15" x14ac:dyDescent="0.25">
      <c r="J4" s="7" t="s">
        <v>31</v>
      </c>
    </row>
    <row r="9" spans="1:15" x14ac:dyDescent="0.25">
      <c r="B9" s="2" t="s">
        <v>6</v>
      </c>
      <c r="C9" s="2" t="s">
        <v>7</v>
      </c>
    </row>
    <row r="10" spans="1:15" x14ac:dyDescent="0.25">
      <c r="A10" t="s">
        <v>0</v>
      </c>
      <c r="B10" s="3">
        <v>3.2</v>
      </c>
      <c r="C10" s="3">
        <f>B10^3-EXP(0.8*B10)-20</f>
        <v>-0.16781731554307555</v>
      </c>
      <c r="F10" s="1" t="s">
        <v>10</v>
      </c>
      <c r="N10" s="2" t="s">
        <v>6</v>
      </c>
      <c r="O10" s="2" t="s">
        <v>7</v>
      </c>
    </row>
    <row r="11" spans="1:15" x14ac:dyDescent="0.25">
      <c r="A11" t="s">
        <v>1</v>
      </c>
      <c r="B11" s="3">
        <v>3.3</v>
      </c>
      <c r="C11" s="3">
        <f>B11^3-EXP(0.8*B11)-20</f>
        <v>1.9237963922663823</v>
      </c>
      <c r="G11" t="s">
        <v>12</v>
      </c>
      <c r="J11" t="s">
        <v>11</v>
      </c>
      <c r="M11" t="s">
        <v>0</v>
      </c>
      <c r="N11" s="3">
        <v>7.45</v>
      </c>
      <c r="O11" s="3">
        <f>N11^3-EXP(0.8*N11)-20</f>
        <v>5.8835007622163289</v>
      </c>
    </row>
    <row r="12" spans="1:15" x14ac:dyDescent="0.25">
      <c r="B12" t="s">
        <v>14</v>
      </c>
      <c r="M12" t="s">
        <v>1</v>
      </c>
      <c r="N12" s="3">
        <v>7.5</v>
      </c>
      <c r="O12" s="3">
        <f>N12^3-EXP(0.8*N12)-20</f>
        <v>-1.5537934927351102</v>
      </c>
    </row>
    <row r="13" spans="1:15" x14ac:dyDescent="0.25">
      <c r="A13" t="s">
        <v>20</v>
      </c>
      <c r="B13" s="22" t="s">
        <v>0</v>
      </c>
      <c r="C13" s="22" t="s">
        <v>1</v>
      </c>
      <c r="D13" s="22" t="s">
        <v>2</v>
      </c>
      <c r="E13" s="22" t="s">
        <v>3</v>
      </c>
      <c r="F13" s="22" t="s">
        <v>4</v>
      </c>
      <c r="G13" s="22" t="s">
        <v>5</v>
      </c>
      <c r="H13" s="8"/>
      <c r="I13" s="17"/>
      <c r="J13" s="8"/>
    </row>
    <row r="14" spans="1:15" x14ac:dyDescent="0.25">
      <c r="A14">
        <v>0</v>
      </c>
      <c r="B14">
        <v>3.2</v>
      </c>
      <c r="C14">
        <v>3.3</v>
      </c>
      <c r="D14">
        <f t="shared" ref="D14:D26" si="0">(B14+C14)/2</f>
        <v>3.25</v>
      </c>
      <c r="E14">
        <f t="shared" ref="E14:E26" si="1">B14^3-EXP(0.8*B14)-20</f>
        <v>-0.16781731554307555</v>
      </c>
      <c r="F14">
        <f t="shared" ref="F14:F26" si="2">C14^3-EXP(0.8*C14)-20</f>
        <v>1.9237963922663823</v>
      </c>
      <c r="G14">
        <f t="shared" ref="G14:G26" si="3">D14^3-EXP(0.8*D14)-20</f>
        <v>0.86438696499831025</v>
      </c>
    </row>
    <row r="15" spans="1:15" x14ac:dyDescent="0.25">
      <c r="A15">
        <v>1</v>
      </c>
      <c r="B15">
        <f>B14</f>
        <v>3.2</v>
      </c>
      <c r="C15">
        <f>D14</f>
        <v>3.25</v>
      </c>
      <c r="D15">
        <f t="shared" si="0"/>
        <v>3.2250000000000001</v>
      </c>
      <c r="E15">
        <f t="shared" si="1"/>
        <v>-0.16781731554307555</v>
      </c>
      <c r="F15">
        <f t="shared" si="2"/>
        <v>0.86438696499831025</v>
      </c>
      <c r="G15">
        <f t="shared" si="3"/>
        <v>0.34487746534163932</v>
      </c>
    </row>
    <row r="16" spans="1:15" x14ac:dyDescent="0.25">
      <c r="A16">
        <v>2</v>
      </c>
      <c r="B16">
        <f>B15</f>
        <v>3.2</v>
      </c>
      <c r="C16">
        <f>D15</f>
        <v>3.2250000000000001</v>
      </c>
      <c r="D16">
        <f t="shared" si="0"/>
        <v>3.2125000000000004</v>
      </c>
      <c r="E16">
        <f t="shared" si="1"/>
        <v>-0.16781731554307555</v>
      </c>
      <c r="F16">
        <f t="shared" si="2"/>
        <v>0.34487746534163932</v>
      </c>
      <c r="G16">
        <f t="shared" si="3"/>
        <v>8.7677512190445839E-2</v>
      </c>
      <c r="M16" s="5" t="s">
        <v>15</v>
      </c>
    </row>
    <row r="17" spans="1:20" x14ac:dyDescent="0.25">
      <c r="A17">
        <v>3</v>
      </c>
      <c r="B17">
        <f>B16</f>
        <v>3.2</v>
      </c>
      <c r="C17">
        <f>D16</f>
        <v>3.2125000000000004</v>
      </c>
      <c r="D17">
        <f t="shared" si="0"/>
        <v>3.2062500000000003</v>
      </c>
      <c r="E17">
        <f t="shared" si="1"/>
        <v>-0.16781731554307555</v>
      </c>
      <c r="F17">
        <f t="shared" si="2"/>
        <v>8.7677512190445839E-2</v>
      </c>
      <c r="G17">
        <f t="shared" si="3"/>
        <v>-4.0283125530006458E-2</v>
      </c>
      <c r="L17" t="s">
        <v>20</v>
      </c>
      <c r="M17" s="22" t="s">
        <v>0</v>
      </c>
      <c r="N17" s="22" t="s">
        <v>1</v>
      </c>
      <c r="O17" s="22" t="s">
        <v>2</v>
      </c>
      <c r="P17" s="22" t="s">
        <v>3</v>
      </c>
      <c r="Q17" s="22" t="s">
        <v>4</v>
      </c>
      <c r="R17" s="22" t="s">
        <v>5</v>
      </c>
    </row>
    <row r="18" spans="1:20" x14ac:dyDescent="0.25">
      <c r="A18">
        <v>4</v>
      </c>
      <c r="B18">
        <f>D17</f>
        <v>3.2062500000000003</v>
      </c>
      <c r="C18">
        <f>C17</f>
        <v>3.2125000000000004</v>
      </c>
      <c r="D18">
        <f t="shared" si="0"/>
        <v>3.2093750000000005</v>
      </c>
      <c r="E18">
        <f t="shared" si="1"/>
        <v>-4.0283125530006458E-2</v>
      </c>
      <c r="F18">
        <f t="shared" si="2"/>
        <v>8.7677512190445839E-2</v>
      </c>
      <c r="G18">
        <f t="shared" si="3"/>
        <v>2.3643897445339235E-2</v>
      </c>
      <c r="L18">
        <v>0</v>
      </c>
      <c r="M18">
        <v>7.45</v>
      </c>
      <c r="N18">
        <v>7.5</v>
      </c>
      <c r="O18">
        <f t="shared" ref="O18:O30" si="4">(M18+N18)/2</f>
        <v>7.4749999999999996</v>
      </c>
      <c r="P18">
        <f>M18^3-EXP(0.8*M18)-20</f>
        <v>5.8835007622163289</v>
      </c>
      <c r="Q18">
        <f>N18^3-EXP(0.8*N18)-20</f>
        <v>-1.5537934927351102</v>
      </c>
      <c r="R18">
        <f>O18^3-EXP(0.8*O18)-20</f>
        <v>2.2299287196757973</v>
      </c>
    </row>
    <row r="19" spans="1:20" x14ac:dyDescent="0.25">
      <c r="A19">
        <v>5</v>
      </c>
      <c r="B19">
        <f>B18</f>
        <v>3.2062500000000003</v>
      </c>
      <c r="C19">
        <f>D18</f>
        <v>3.2093750000000005</v>
      </c>
      <c r="D19">
        <f t="shared" si="0"/>
        <v>3.2078125000000002</v>
      </c>
      <c r="E19">
        <f t="shared" si="1"/>
        <v>-4.0283125530006458E-2</v>
      </c>
      <c r="F19">
        <f t="shared" si="2"/>
        <v>2.3643897445339235E-2</v>
      </c>
      <c r="G19">
        <f t="shared" si="3"/>
        <v>-8.3329392932256496E-3</v>
      </c>
      <c r="L19">
        <v>1</v>
      </c>
      <c r="M19">
        <f>O18</f>
        <v>7.4749999999999996</v>
      </c>
      <c r="N19">
        <f>N18</f>
        <v>7.5</v>
      </c>
      <c r="O19">
        <f t="shared" si="4"/>
        <v>7.4874999999999998</v>
      </c>
      <c r="P19">
        <f t="shared" ref="P19:P30" si="5">M19^3-EXP(0.8*M19)-20</f>
        <v>2.2299287196757973</v>
      </c>
      <c r="Q19">
        <f t="shared" ref="Q19:Q30" si="6">N19^3-EXP(0.8*N19)-20</f>
        <v>-1.5537934927351102</v>
      </c>
      <c r="R19">
        <f t="shared" ref="R19:R30" si="7">O19^3-EXP(0.8*O19)-20</f>
        <v>0.35452874476499119</v>
      </c>
    </row>
    <row r="20" spans="1:20" x14ac:dyDescent="0.25">
      <c r="A20">
        <v>6</v>
      </c>
      <c r="B20">
        <f>D19</f>
        <v>3.2078125000000002</v>
      </c>
      <c r="C20">
        <f>C19</f>
        <v>3.2093750000000005</v>
      </c>
      <c r="D20">
        <f t="shared" si="0"/>
        <v>3.2085937500000004</v>
      </c>
      <c r="E20">
        <f t="shared" si="1"/>
        <v>-8.3329392932256496E-3</v>
      </c>
      <c r="F20">
        <f t="shared" si="2"/>
        <v>2.3643897445339235E-2</v>
      </c>
      <c r="G20">
        <f t="shared" si="3"/>
        <v>7.6521479220588162E-3</v>
      </c>
      <c r="L20">
        <v>2</v>
      </c>
      <c r="M20">
        <f>O19</f>
        <v>7.4874999999999998</v>
      </c>
      <c r="N20">
        <f>N19</f>
        <v>7.5</v>
      </c>
      <c r="O20">
        <f t="shared" si="4"/>
        <v>7.4937500000000004</v>
      </c>
      <c r="P20">
        <f t="shared" si="5"/>
        <v>0.35452874476499119</v>
      </c>
      <c r="Q20">
        <f t="shared" si="6"/>
        <v>-1.5537934927351102</v>
      </c>
      <c r="R20">
        <f t="shared" si="7"/>
        <v>-0.59549282880993815</v>
      </c>
    </row>
    <row r="21" spans="1:20" x14ac:dyDescent="0.25">
      <c r="A21">
        <v>7</v>
      </c>
      <c r="B21">
        <f>B20</f>
        <v>3.2078125000000002</v>
      </c>
      <c r="C21">
        <f>D20</f>
        <v>3.2085937500000004</v>
      </c>
      <c r="D21">
        <f t="shared" si="0"/>
        <v>3.2082031250000003</v>
      </c>
      <c r="E21">
        <f t="shared" si="1"/>
        <v>-8.3329392932256496E-3</v>
      </c>
      <c r="F21">
        <f t="shared" si="2"/>
        <v>7.6521479220588162E-3</v>
      </c>
      <c r="G21">
        <f t="shared" si="3"/>
        <v>-3.4122849400120003E-4</v>
      </c>
      <c r="L21">
        <v>3</v>
      </c>
      <c r="M21">
        <f>M20</f>
        <v>7.4874999999999998</v>
      </c>
      <c r="N21">
        <f>O20</f>
        <v>7.4937500000000004</v>
      </c>
      <c r="O21">
        <f t="shared" si="4"/>
        <v>7.4906249999999996</v>
      </c>
      <c r="P21">
        <f t="shared" si="5"/>
        <v>0.35452874476499119</v>
      </c>
      <c r="Q21">
        <f t="shared" si="6"/>
        <v>-0.59549282880993815</v>
      </c>
      <c r="R21">
        <f t="shared" si="7"/>
        <v>-0.11945019828834802</v>
      </c>
    </row>
    <row r="22" spans="1:20" x14ac:dyDescent="0.25">
      <c r="A22">
        <v>8</v>
      </c>
      <c r="B22">
        <f>D21</f>
        <v>3.2082031250000003</v>
      </c>
      <c r="C22">
        <f>C21</f>
        <v>3.2085937500000004</v>
      </c>
      <c r="D22">
        <f t="shared" si="0"/>
        <v>3.2083984375000005</v>
      </c>
      <c r="E22">
        <f t="shared" si="1"/>
        <v>-3.4122849400120003E-4</v>
      </c>
      <c r="F22">
        <f t="shared" si="2"/>
        <v>7.6521479220588162E-3</v>
      </c>
      <c r="G22">
        <f t="shared" si="3"/>
        <v>3.6552515144130382E-3</v>
      </c>
      <c r="L22">
        <v>4</v>
      </c>
      <c r="M22">
        <f>M21</f>
        <v>7.4874999999999998</v>
      </c>
      <c r="N22">
        <f>O21</f>
        <v>7.4906249999999996</v>
      </c>
      <c r="O22">
        <f t="shared" si="4"/>
        <v>7.4890624999999993</v>
      </c>
      <c r="P22">
        <f t="shared" si="5"/>
        <v>0.35452874476499119</v>
      </c>
      <c r="Q22">
        <f t="shared" si="6"/>
        <v>-0.11945019828834802</v>
      </c>
      <c r="R22">
        <f t="shared" si="7"/>
        <v>0.11779685470821732</v>
      </c>
      <c r="T22" t="s">
        <v>12</v>
      </c>
    </row>
    <row r="23" spans="1:20" x14ac:dyDescent="0.25">
      <c r="A23">
        <v>9</v>
      </c>
      <c r="B23">
        <f>B22</f>
        <v>3.2082031250000003</v>
      </c>
      <c r="C23">
        <f>D22</f>
        <v>3.2083984375000005</v>
      </c>
      <c r="D23">
        <f t="shared" si="0"/>
        <v>3.2083007812500002</v>
      </c>
      <c r="E23">
        <f t="shared" si="1"/>
        <v>-3.4122849400120003E-4</v>
      </c>
      <c r="F23">
        <f t="shared" si="2"/>
        <v>3.6552515144130382E-3</v>
      </c>
      <c r="G23">
        <f t="shared" si="3"/>
        <v>1.6569594599822324E-3</v>
      </c>
      <c r="L23">
        <v>5</v>
      </c>
      <c r="M23">
        <f>O22</f>
        <v>7.4890624999999993</v>
      </c>
      <c r="N23">
        <f>N22</f>
        <v>7.4906249999999996</v>
      </c>
      <c r="O23">
        <f t="shared" si="4"/>
        <v>7.4898437499999995</v>
      </c>
      <c r="P23">
        <f t="shared" si="5"/>
        <v>0.11779685470821732</v>
      </c>
      <c r="Q23">
        <f t="shared" si="6"/>
        <v>-0.11945019828834802</v>
      </c>
      <c r="R23">
        <f t="shared" si="7"/>
        <v>-7.6222902799827352E-4</v>
      </c>
    </row>
    <row r="24" spans="1:20" x14ac:dyDescent="0.25">
      <c r="A24">
        <v>10</v>
      </c>
      <c r="B24">
        <f>B23</f>
        <v>3.2082031250000003</v>
      </c>
      <c r="C24">
        <f>D23</f>
        <v>3.2083007812500002</v>
      </c>
      <c r="D24">
        <f t="shared" si="0"/>
        <v>3.208251953125</v>
      </c>
      <c r="E24">
        <f t="shared" si="1"/>
        <v>-3.4122849400120003E-4</v>
      </c>
      <c r="F24">
        <f t="shared" si="2"/>
        <v>1.6569594599822324E-3</v>
      </c>
      <c r="G24">
        <f t="shared" si="3"/>
        <v>6.5785247038974148E-4</v>
      </c>
      <c r="L24">
        <v>6</v>
      </c>
      <c r="M24">
        <f>M23</f>
        <v>7.4890624999999993</v>
      </c>
      <c r="N24">
        <f>O23</f>
        <v>7.4898437499999995</v>
      </c>
      <c r="O24">
        <f t="shared" si="4"/>
        <v>7.4894531249999989</v>
      </c>
      <c r="P24">
        <f t="shared" si="5"/>
        <v>0.11779685470821732</v>
      </c>
      <c r="Q24">
        <f t="shared" si="6"/>
        <v>-7.6222902799827352E-4</v>
      </c>
      <c r="R24">
        <f t="shared" si="7"/>
        <v>5.8533417604053284E-2</v>
      </c>
    </row>
    <row r="25" spans="1:20" x14ac:dyDescent="0.25">
      <c r="A25">
        <v>11</v>
      </c>
      <c r="B25">
        <f>B24</f>
        <v>3.2082031250000003</v>
      </c>
      <c r="C25">
        <f>D24</f>
        <v>3.208251953125</v>
      </c>
      <c r="D25" s="4">
        <f t="shared" si="0"/>
        <v>3.2082275390625004</v>
      </c>
      <c r="E25">
        <f t="shared" si="1"/>
        <v>-3.4122849400120003E-4</v>
      </c>
      <c r="F25">
        <f t="shared" si="2"/>
        <v>6.5785247038974148E-4</v>
      </c>
      <c r="G25">
        <f t="shared" si="3"/>
        <v>1.5830873504540932E-4</v>
      </c>
      <c r="L25">
        <v>7</v>
      </c>
      <c r="M25">
        <f t="shared" ref="M25:M30" si="8">O24</f>
        <v>7.4894531249999989</v>
      </c>
      <c r="N25">
        <f t="shared" ref="N25:N30" si="9">N24</f>
        <v>7.4898437499999995</v>
      </c>
      <c r="O25">
        <f t="shared" si="4"/>
        <v>7.4896484374999996</v>
      </c>
      <c r="P25">
        <f t="shared" si="5"/>
        <v>5.8533417604053284E-2</v>
      </c>
      <c r="Q25">
        <f t="shared" si="6"/>
        <v>-7.6222902799827352E-4</v>
      </c>
      <c r="R25">
        <f t="shared" si="7"/>
        <v>2.8889621219548189E-2</v>
      </c>
    </row>
    <row r="26" spans="1:20" x14ac:dyDescent="0.25">
      <c r="A26">
        <v>12</v>
      </c>
      <c r="B26">
        <f>B25</f>
        <v>3.2082031250000003</v>
      </c>
      <c r="C26">
        <f>D25</f>
        <v>3.2082275390625004</v>
      </c>
      <c r="D26" s="4">
        <f t="shared" si="0"/>
        <v>3.2082153320312505</v>
      </c>
      <c r="E26">
        <f t="shared" si="1"/>
        <v>-3.4122849400120003E-4</v>
      </c>
      <c r="F26">
        <f t="shared" si="2"/>
        <v>1.5830873504540932E-4</v>
      </c>
      <c r="G26">
        <f t="shared" si="3"/>
        <v>-9.146069275800528E-5</v>
      </c>
      <c r="L26">
        <v>8</v>
      </c>
      <c r="M26">
        <f t="shared" si="8"/>
        <v>7.4896484374999996</v>
      </c>
      <c r="N26">
        <f t="shared" si="9"/>
        <v>7.4898437499999995</v>
      </c>
      <c r="O26">
        <f t="shared" si="4"/>
        <v>7.48974609375</v>
      </c>
      <c r="P26">
        <f t="shared" si="5"/>
        <v>2.8889621219548189E-2</v>
      </c>
      <c r="Q26">
        <f t="shared" si="6"/>
        <v>-7.6222902799827352E-4</v>
      </c>
      <c r="R26">
        <f t="shared" si="7"/>
        <v>1.406470292135964E-2</v>
      </c>
    </row>
    <row r="27" spans="1:20" x14ac:dyDescent="0.25">
      <c r="D27" t="s">
        <v>13</v>
      </c>
      <c r="L27">
        <v>9</v>
      </c>
      <c r="M27">
        <f t="shared" si="8"/>
        <v>7.48974609375</v>
      </c>
      <c r="N27">
        <f t="shared" si="9"/>
        <v>7.4898437499999995</v>
      </c>
      <c r="O27">
        <f t="shared" si="4"/>
        <v>7.4897949218749993</v>
      </c>
      <c r="P27">
        <f t="shared" si="5"/>
        <v>1.406470292135964E-2</v>
      </c>
      <c r="Q27">
        <f t="shared" si="6"/>
        <v>-7.6222902799827352E-4</v>
      </c>
      <c r="R27">
        <f t="shared" si="7"/>
        <v>6.6514886648860738E-3</v>
      </c>
    </row>
    <row r="28" spans="1:20" x14ac:dyDescent="0.25">
      <c r="L28">
        <v>10</v>
      </c>
      <c r="M28">
        <f t="shared" si="8"/>
        <v>7.4897949218749993</v>
      </c>
      <c r="N28">
        <f t="shared" si="9"/>
        <v>7.4898437499999995</v>
      </c>
      <c r="O28">
        <f t="shared" si="4"/>
        <v>7.4898193359374989</v>
      </c>
      <c r="P28">
        <f t="shared" si="5"/>
        <v>6.6514886648860738E-3</v>
      </c>
      <c r="Q28">
        <f t="shared" si="6"/>
        <v>-7.6222902799827352E-4</v>
      </c>
      <c r="R28">
        <f t="shared" si="7"/>
        <v>2.9446927493381736E-3</v>
      </c>
    </row>
    <row r="29" spans="1:20" x14ac:dyDescent="0.25">
      <c r="L29">
        <v>11</v>
      </c>
      <c r="M29">
        <f t="shared" si="8"/>
        <v>7.4898193359374989</v>
      </c>
      <c r="N29">
        <f t="shared" si="9"/>
        <v>7.4898437499999995</v>
      </c>
      <c r="O29">
        <f t="shared" si="4"/>
        <v>7.4898315429687496</v>
      </c>
      <c r="P29">
        <f t="shared" si="5"/>
        <v>2.9446927493381736E-3</v>
      </c>
      <c r="Q29">
        <f t="shared" si="6"/>
        <v>-7.6222902799827352E-4</v>
      </c>
      <c r="R29">
        <f t="shared" si="7"/>
        <v>1.0912475937061572E-3</v>
      </c>
    </row>
    <row r="30" spans="1:20" x14ac:dyDescent="0.25">
      <c r="L30">
        <v>12</v>
      </c>
      <c r="M30">
        <f t="shared" si="8"/>
        <v>7.4898315429687496</v>
      </c>
      <c r="N30">
        <f t="shared" si="9"/>
        <v>7.4898437499999995</v>
      </c>
      <c r="O30" s="4">
        <f t="shared" si="4"/>
        <v>7.489837646484375</v>
      </c>
      <c r="P30">
        <f t="shared" si="5"/>
        <v>1.0912475937061572E-3</v>
      </c>
      <c r="Q30">
        <f t="shared" si="6"/>
        <v>-7.6222902799827352E-4</v>
      </c>
      <c r="R30">
        <f t="shared" si="7"/>
        <v>1.6451321619115333E-4</v>
      </c>
    </row>
    <row r="31" spans="1:20" x14ac:dyDescent="0.25">
      <c r="O31" t="s">
        <v>13</v>
      </c>
    </row>
    <row r="33" spans="2:14" x14ac:dyDescent="0.25">
      <c r="C33" s="1" t="s">
        <v>10</v>
      </c>
    </row>
    <row r="36" spans="2:14" x14ac:dyDescent="0.25">
      <c r="B36" s="7" t="s">
        <v>9</v>
      </c>
      <c r="K36" s="7" t="s">
        <v>9</v>
      </c>
    </row>
    <row r="37" spans="2:14" x14ac:dyDescent="0.25">
      <c r="B37" t="s">
        <v>16</v>
      </c>
      <c r="L37" t="s">
        <v>17</v>
      </c>
    </row>
    <row r="41" spans="2:14" x14ac:dyDescent="0.25">
      <c r="F41" t="s">
        <v>18</v>
      </c>
      <c r="K41" s="7"/>
    </row>
    <row r="42" spans="2:14" x14ac:dyDescent="0.25">
      <c r="B42" s="22" t="s">
        <v>20</v>
      </c>
      <c r="C42" s="22" t="s">
        <v>6</v>
      </c>
      <c r="D42" s="22" t="s">
        <v>7</v>
      </c>
      <c r="E42" s="22" t="s">
        <v>8</v>
      </c>
      <c r="F42" s="8"/>
      <c r="G42" s="8"/>
      <c r="H42" s="8"/>
      <c r="I42" s="17"/>
      <c r="K42" s="22" t="s">
        <v>20</v>
      </c>
      <c r="L42" s="22" t="s">
        <v>6</v>
      </c>
      <c r="M42" s="22" t="s">
        <v>7</v>
      </c>
      <c r="N42" s="22" t="s">
        <v>8</v>
      </c>
    </row>
    <row r="43" spans="2:14" x14ac:dyDescent="0.25">
      <c r="B43">
        <v>0</v>
      </c>
      <c r="C43">
        <v>3.2</v>
      </c>
      <c r="D43">
        <f>C43^3-EXP(0.8*C43)-20</f>
        <v>-0.16781731554307555</v>
      </c>
      <c r="E43">
        <f>3*(C43^2)-0.8*EXP(0.8*C43)</f>
        <v>20.371346147565539</v>
      </c>
      <c r="K43">
        <v>0</v>
      </c>
      <c r="L43">
        <v>7.45</v>
      </c>
      <c r="M43">
        <f>L43^3-(EXP(0.8*L43))-20</f>
        <v>5.8835007622163289</v>
      </c>
      <c r="N43">
        <f>3*(L43^2)-0.8*EXP(0.8*L43)</f>
        <v>-143.58059939022698</v>
      </c>
    </row>
    <row r="44" spans="2:14" x14ac:dyDescent="0.25">
      <c r="B44">
        <v>1</v>
      </c>
      <c r="C44">
        <f>C43-(D43/E43)</f>
        <v>3.2082379099705758</v>
      </c>
      <c r="D44">
        <f t="shared" ref="D44:D45" si="10">C44^3-EXP(0.8*C44)-20</f>
        <v>3.7051031979018489E-4</v>
      </c>
      <c r="E44">
        <f t="shared" ref="E44:E45" si="11">3*(C44^2)-0.8*EXP(0.8*C44)</f>
        <v>20.461291357421533</v>
      </c>
      <c r="K44">
        <v>1</v>
      </c>
      <c r="L44">
        <f>L43-(M43/N43)</f>
        <v>7.4909769898384813</v>
      </c>
      <c r="M44">
        <f t="shared" ref="M44:M46" si="12">L44^3-(EXP(0.8*L44))-20</f>
        <v>-0.17296684719013911</v>
      </c>
      <c r="N44">
        <f t="shared" ref="N44:N45" si="13">3*(L44^2)-0.8*EXP(0.8*L44)</f>
        <v>-152.07752319621645</v>
      </c>
    </row>
    <row r="45" spans="2:14" x14ac:dyDescent="0.25">
      <c r="B45">
        <v>2</v>
      </c>
      <c r="C45" s="4">
        <f>C44-(D44/E44)</f>
        <v>3.2082198021046882</v>
      </c>
      <c r="D45">
        <f t="shared" si="10"/>
        <v>1.7896155668495339E-9</v>
      </c>
      <c r="E45">
        <f t="shared" si="11"/>
        <v>20.461093696132906</v>
      </c>
      <c r="K45">
        <v>2</v>
      </c>
      <c r="L45" s="4">
        <f>L44-(M44/N44)</f>
        <v>7.4898396301317023</v>
      </c>
      <c r="M45">
        <f t="shared" si="12"/>
        <v>-1.366778714668726E-4</v>
      </c>
      <c r="N45">
        <f t="shared" si="13"/>
        <v>-151.83722371177902</v>
      </c>
    </row>
    <row r="46" spans="2:14" x14ac:dyDescent="0.25">
      <c r="K46">
        <v>3</v>
      </c>
      <c r="L46" s="4">
        <f>L45-(M45/N45)</f>
        <v>7.4898387299712006</v>
      </c>
      <c r="M46">
        <f t="shared" si="12"/>
        <v>-8.5549345385516062E-11</v>
      </c>
      <c r="N46">
        <f t="shared" ref="N46" si="14">3*(L46^2)-0.8*EXP(0.8*L46)</f>
        <v>-151.83703362927315</v>
      </c>
    </row>
    <row r="50" spans="2:17" x14ac:dyDescent="0.25">
      <c r="B50" s="7" t="s">
        <v>19</v>
      </c>
      <c r="K50" s="7" t="s">
        <v>19</v>
      </c>
    </row>
    <row r="51" spans="2:17" x14ac:dyDescent="0.25">
      <c r="B51" t="s">
        <v>16</v>
      </c>
      <c r="L51" t="s">
        <v>17</v>
      </c>
    </row>
    <row r="52" spans="2:17" x14ac:dyDescent="0.25">
      <c r="M52" s="1" t="s">
        <v>10</v>
      </c>
    </row>
    <row r="53" spans="2:17" x14ac:dyDescent="0.25">
      <c r="C53" s="1" t="s">
        <v>10</v>
      </c>
      <c r="L53" s="7"/>
    </row>
    <row r="54" spans="2:17" x14ac:dyDescent="0.25">
      <c r="L54" s="23" t="s">
        <v>20</v>
      </c>
      <c r="M54" s="23" t="s">
        <v>6</v>
      </c>
      <c r="N54" s="23" t="s">
        <v>7</v>
      </c>
      <c r="O54" s="23" t="s">
        <v>21</v>
      </c>
    </row>
    <row r="55" spans="2:17" x14ac:dyDescent="0.25">
      <c r="B55" s="23" t="s">
        <v>20</v>
      </c>
      <c r="C55" s="23" t="s">
        <v>6</v>
      </c>
      <c r="D55" s="23" t="s">
        <v>7</v>
      </c>
      <c r="E55" s="23" t="s">
        <v>21</v>
      </c>
      <c r="L55">
        <v>0</v>
      </c>
      <c r="M55">
        <v>7.45</v>
      </c>
      <c r="N55">
        <f>M55^3-(EXP(0.8*M55))-20</f>
        <v>5.8835007622163289</v>
      </c>
      <c r="O55" s="10">
        <v>5.0000000000000001E-4</v>
      </c>
    </row>
    <row r="56" spans="2:17" x14ac:dyDescent="0.25">
      <c r="B56">
        <v>0</v>
      </c>
      <c r="C56">
        <v>3.2</v>
      </c>
      <c r="D56">
        <f t="shared" ref="D56:D61" si="15">(C56^3)-(EXP(0.8*C56))-20</f>
        <v>-0.16781731554307555</v>
      </c>
      <c r="E56" s="10">
        <v>5.0000000000000001E-4</v>
      </c>
      <c r="L56">
        <v>1</v>
      </c>
      <c r="M56">
        <v>7.5</v>
      </c>
      <c r="N56">
        <f>M56^3-(EXP(0.8*M56))-20</f>
        <v>-1.5537934927351102</v>
      </c>
    </row>
    <row r="57" spans="2:17" x14ac:dyDescent="0.25">
      <c r="B57">
        <v>1</v>
      </c>
      <c r="C57">
        <v>3.3</v>
      </c>
      <c r="D57">
        <f t="shared" si="15"/>
        <v>1.9237963922663823</v>
      </c>
      <c r="L57">
        <v>2</v>
      </c>
      <c r="M57" s="11">
        <f>+M56-N56*((M56-M55)/(N56-N55))</f>
        <v>7.4895540404919396</v>
      </c>
      <c r="N57">
        <f>M57^3-(EXP(0.8*M57))-20</f>
        <v>4.3217849453128565E-2</v>
      </c>
    </row>
    <row r="58" spans="2:17" x14ac:dyDescent="0.25">
      <c r="B58">
        <v>2</v>
      </c>
      <c r="C58" s="11">
        <f>+C57-D57*((C57-C56)/(D57-D56))</f>
        <v>3.2080233417344943</v>
      </c>
      <c r="D58">
        <f t="shared" si="15"/>
        <v>-4.019581595326116E-3</v>
      </c>
      <c r="L58">
        <v>3</v>
      </c>
      <c r="M58" s="4">
        <f>+M57-N57*((M57-M56)/(N57-N56))</f>
        <v>7.4898367259641629</v>
      </c>
      <c r="N58">
        <f>M58^3-(EXP(0.8*M58))-20</f>
        <v>3.0428197453602479E-4</v>
      </c>
    </row>
    <row r="59" spans="2:17" x14ac:dyDescent="0.25">
      <c r="B59">
        <v>3</v>
      </c>
      <c r="C59" s="2">
        <f>+C58-D58*((C58-C57)/(D58-D57))</f>
        <v>3.2082151171361799</v>
      </c>
      <c r="D59">
        <f t="shared" si="15"/>
        <v>-9.5857670196153322E-5</v>
      </c>
      <c r="F59" t="s">
        <v>28</v>
      </c>
      <c r="L59">
        <v>4</v>
      </c>
      <c r="M59" s="4">
        <f>+M58-N58*((M58-M57)/(N58-N57))</f>
        <v>7.4898387303674019</v>
      </c>
      <c r="N59">
        <f>M59^3-(EXP(0.8*M59))-20</f>
        <v>-6.0243451116548385E-8</v>
      </c>
      <c r="Q59" t="s">
        <v>28</v>
      </c>
    </row>
    <row r="60" spans="2:17" x14ac:dyDescent="0.25">
      <c r="B60">
        <v>4</v>
      </c>
      <c r="C60" s="4">
        <f>+C59-D59*((C59-C58)/(D59-D58))</f>
        <v>3.2082198022627479</v>
      </c>
      <c r="D60">
        <f t="shared" si="15"/>
        <v>5.0236863557984179E-9</v>
      </c>
    </row>
    <row r="61" spans="2:17" x14ac:dyDescent="0.25">
      <c r="B61">
        <v>5</v>
      </c>
      <c r="C61" s="4">
        <f>+C60-D60*((C60-C59)/(D60-D59))</f>
        <v>3.2082198020172239</v>
      </c>
      <c r="D61">
        <f t="shared" si="15"/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51"/>
  <sheetViews>
    <sheetView zoomScale="63" workbookViewId="0">
      <selection activeCell="F7" sqref="F7"/>
    </sheetView>
  </sheetViews>
  <sheetFormatPr baseColWidth="10" defaultColWidth="9.140625" defaultRowHeight="15" x14ac:dyDescent="0.25"/>
  <sheetData>
    <row r="1" spans="2:18" x14ac:dyDescent="0.25">
      <c r="K1" t="s">
        <v>38</v>
      </c>
    </row>
    <row r="2" spans="2:18" x14ac:dyDescent="0.25">
      <c r="K2" s="7" t="s">
        <v>33</v>
      </c>
    </row>
    <row r="3" spans="2:18" x14ac:dyDescent="0.25">
      <c r="K3" s="7" t="s">
        <v>34</v>
      </c>
    </row>
    <row r="4" spans="2:18" x14ac:dyDescent="0.25">
      <c r="K4" s="7"/>
    </row>
    <row r="6" spans="2:18" x14ac:dyDescent="0.25">
      <c r="C6" s="2" t="s">
        <v>6</v>
      </c>
      <c r="D6" s="2" t="s">
        <v>7</v>
      </c>
      <c r="J6" s="9" t="s">
        <v>21</v>
      </c>
    </row>
    <row r="7" spans="2:18" x14ac:dyDescent="0.25">
      <c r="B7" t="s">
        <v>0</v>
      </c>
      <c r="C7" s="3">
        <v>5.6</v>
      </c>
      <c r="D7" s="3">
        <f>3*SIN(0.5*C7)-0.5*C7+2</f>
        <v>0.2049644504677155</v>
      </c>
      <c r="F7" t="s">
        <v>22</v>
      </c>
      <c r="J7" s="10">
        <v>5.0000000000000001E-4</v>
      </c>
    </row>
    <row r="8" spans="2:18" x14ac:dyDescent="0.25">
      <c r="B8" t="s">
        <v>1</v>
      </c>
      <c r="C8" s="3">
        <v>5.8</v>
      </c>
      <c r="D8" s="3">
        <f>3*SIN(0.5*C8)-0.5*C8+2</f>
        <v>-0.18225201235805244</v>
      </c>
    </row>
    <row r="10" spans="2:18" x14ac:dyDescent="0.25">
      <c r="B10" s="7" t="s">
        <v>23</v>
      </c>
    </row>
    <row r="11" spans="2:18" x14ac:dyDescent="0.25">
      <c r="B11" s="15" t="s">
        <v>20</v>
      </c>
      <c r="C11" s="16" t="s">
        <v>0</v>
      </c>
      <c r="D11" s="16" t="s">
        <v>1</v>
      </c>
      <c r="E11" s="16" t="s">
        <v>2</v>
      </c>
      <c r="F11" s="16" t="s">
        <v>3</v>
      </c>
      <c r="G11" s="16" t="s">
        <v>4</v>
      </c>
      <c r="H11" s="16" t="s">
        <v>5</v>
      </c>
      <c r="I11" s="8"/>
    </row>
    <row r="12" spans="2:18" x14ac:dyDescent="0.25">
      <c r="B12">
        <v>0</v>
      </c>
      <c r="C12">
        <v>5.6</v>
      </c>
      <c r="D12">
        <v>5.8</v>
      </c>
      <c r="E12">
        <f>(C12+D12)/2</f>
        <v>5.6999999999999993</v>
      </c>
      <c r="F12">
        <f>3*SIN(0.5*C12)-0.5*C12+2</f>
        <v>0.2049644504677155</v>
      </c>
      <c r="G12">
        <f t="shared" ref="G12:H12" si="0">3*SIN(0.5*D12)-0.5*D12+2</f>
        <v>-0.18225201235805244</v>
      </c>
      <c r="H12">
        <f t="shared" si="0"/>
        <v>1.2434037027634792E-2</v>
      </c>
    </row>
    <row r="13" spans="2:18" x14ac:dyDescent="0.25">
      <c r="B13">
        <v>1</v>
      </c>
      <c r="C13">
        <f>E12</f>
        <v>5.6999999999999993</v>
      </c>
      <c r="D13">
        <f>D12</f>
        <v>5.8</v>
      </c>
      <c r="E13">
        <f t="shared" ref="E13:E17" si="1">(C13+D13)/2</f>
        <v>5.75</v>
      </c>
      <c r="F13">
        <f t="shared" ref="F13:F17" si="2">3*SIN(0.5*C13)-0.5*C13+2</f>
        <v>1.2434037027634792E-2</v>
      </c>
      <c r="G13">
        <f t="shared" ref="G13:G17" si="3">3*SIN(0.5*D13)-0.5*D13+2</f>
        <v>-0.18225201235805244</v>
      </c>
      <c r="H13">
        <f t="shared" ref="H13:H17" si="4">3*SIN(0.5*E13)-0.5*E13+2</f>
        <v>-8.4662019909737651E-2</v>
      </c>
      <c r="L13" s="8"/>
      <c r="M13" s="8"/>
      <c r="N13" s="8"/>
      <c r="O13" s="8"/>
      <c r="P13" s="8"/>
      <c r="Q13" s="8"/>
      <c r="R13" s="8"/>
    </row>
    <row r="14" spans="2:18" x14ac:dyDescent="0.25">
      <c r="B14">
        <v>2</v>
      </c>
      <c r="C14">
        <f>C13</f>
        <v>5.6999999999999993</v>
      </c>
      <c r="D14">
        <f>E13</f>
        <v>5.75</v>
      </c>
      <c r="E14">
        <f t="shared" si="1"/>
        <v>5.7249999999999996</v>
      </c>
      <c r="F14">
        <f t="shared" si="2"/>
        <v>1.2434037027634792E-2</v>
      </c>
      <c r="G14">
        <f t="shared" si="3"/>
        <v>-8.4662019909737651E-2</v>
      </c>
      <c r="H14">
        <f t="shared" si="4"/>
        <v>-3.6049425830649184E-2</v>
      </c>
    </row>
    <row r="15" spans="2:18" x14ac:dyDescent="0.25">
      <c r="B15">
        <v>3</v>
      </c>
      <c r="C15">
        <f>C14</f>
        <v>5.6999999999999993</v>
      </c>
      <c r="D15">
        <f>E14</f>
        <v>5.7249999999999996</v>
      </c>
      <c r="E15">
        <f t="shared" si="1"/>
        <v>5.7124999999999995</v>
      </c>
      <c r="F15">
        <f t="shared" si="2"/>
        <v>1.2434037027634792E-2</v>
      </c>
      <c r="G15">
        <f t="shared" si="3"/>
        <v>-3.6049425830649184E-2</v>
      </c>
      <c r="H15">
        <f t="shared" si="4"/>
        <v>-1.1791201119280892E-2</v>
      </c>
    </row>
    <row r="16" spans="2:18" x14ac:dyDescent="0.25">
      <c r="B16">
        <v>4</v>
      </c>
      <c r="C16">
        <f>C15</f>
        <v>5.6999999999999993</v>
      </c>
      <c r="D16">
        <f>E15</f>
        <v>5.7124999999999995</v>
      </c>
      <c r="E16" s="4">
        <f t="shared" si="1"/>
        <v>5.7062499999999989</v>
      </c>
      <c r="F16">
        <f t="shared" si="2"/>
        <v>1.2434037027634792E-2</v>
      </c>
      <c r="G16">
        <f t="shared" si="3"/>
        <v>-1.1791201119280892E-2</v>
      </c>
      <c r="H16">
        <f t="shared" si="4"/>
        <v>3.2558518997216623E-4</v>
      </c>
    </row>
    <row r="17" spans="2:12" x14ac:dyDescent="0.25">
      <c r="B17">
        <v>5</v>
      </c>
      <c r="C17">
        <f>E16</f>
        <v>5.7062499999999989</v>
      </c>
      <c r="D17">
        <f>D16</f>
        <v>5.7124999999999995</v>
      </c>
      <c r="E17" s="4">
        <f t="shared" si="1"/>
        <v>5.7093749999999996</v>
      </c>
      <c r="F17">
        <f t="shared" si="2"/>
        <v>3.2558518997216623E-4</v>
      </c>
      <c r="G17">
        <f t="shared" si="3"/>
        <v>-1.1791201119280892E-2</v>
      </c>
      <c r="H17">
        <f t="shared" si="4"/>
        <v>-5.7317716419555964E-3</v>
      </c>
    </row>
    <row r="18" spans="2:12" x14ac:dyDescent="0.25">
      <c r="E18" t="s">
        <v>13</v>
      </c>
    </row>
    <row r="23" spans="2:12" x14ac:dyDescent="0.25">
      <c r="D23" t="s">
        <v>22</v>
      </c>
    </row>
    <row r="24" spans="2:12" x14ac:dyDescent="0.25">
      <c r="C24" s="7" t="s">
        <v>9</v>
      </c>
    </row>
    <row r="25" spans="2:12" x14ac:dyDescent="0.25">
      <c r="C25" t="s">
        <v>16</v>
      </c>
    </row>
    <row r="29" spans="2:12" x14ac:dyDescent="0.25">
      <c r="C29" s="7"/>
      <c r="G29" t="s">
        <v>18</v>
      </c>
    </row>
    <row r="30" spans="2:12" x14ac:dyDescent="0.25">
      <c r="C30" s="16" t="s">
        <v>20</v>
      </c>
      <c r="D30" s="16" t="s">
        <v>6</v>
      </c>
      <c r="E30" s="16" t="s">
        <v>7</v>
      </c>
      <c r="F30" s="16" t="s">
        <v>8</v>
      </c>
      <c r="G30" s="8"/>
      <c r="H30" s="8"/>
    </row>
    <row r="31" spans="2:12" x14ac:dyDescent="0.25">
      <c r="C31">
        <v>0</v>
      </c>
      <c r="D31">
        <v>5.6</v>
      </c>
      <c r="E31">
        <f>3*SIN(0.5*D31)-0.5*D31+2</f>
        <v>0.2049644504677155</v>
      </c>
      <c r="F31">
        <f>1.5*COS(0.5*D31)-0.5</f>
        <v>-1.9133335110029872</v>
      </c>
    </row>
    <row r="32" spans="2:12" x14ac:dyDescent="0.25">
      <c r="C32">
        <v>1</v>
      </c>
      <c r="D32">
        <f>D31-(E31/F31)</f>
        <v>5.7071242673005136</v>
      </c>
      <c r="E32">
        <f t="shared" ref="E32:E34" si="5">3*SIN(0.5*D32)-0.5*D32+2</f>
        <v>-1.3688450421129872E-3</v>
      </c>
      <c r="F32">
        <f t="shared" ref="F32:F33" si="6">1.5*COS(0.5*D32)-0.5</f>
        <v>-1.9382077908677902</v>
      </c>
      <c r="L32" s="7"/>
    </row>
    <row r="33" spans="3:17" x14ac:dyDescent="0.25">
      <c r="C33">
        <v>2</v>
      </c>
      <c r="D33" s="4">
        <f>D32-(E32/F32)</f>
        <v>5.7064180246321259</v>
      </c>
      <c r="E33">
        <f t="shared" si="5"/>
        <v>-5.3153092594016016E-8</v>
      </c>
      <c r="F33">
        <f t="shared" si="6"/>
        <v>-1.9380572373869582</v>
      </c>
    </row>
    <row r="34" spans="3:17" x14ac:dyDescent="0.25">
      <c r="C34">
        <v>3</v>
      </c>
      <c r="D34" s="4">
        <f>D33-(E33/F33)</f>
        <v>5.7064179972061595</v>
      </c>
      <c r="E34">
        <f t="shared" si="5"/>
        <v>0</v>
      </c>
      <c r="F34">
        <f t="shared" ref="F34" si="7">1.5*COS(0.5*D34)-0.5</f>
        <v>-1.938057231536938</v>
      </c>
    </row>
    <row r="36" spans="3:17" x14ac:dyDescent="0.25">
      <c r="L36" s="8"/>
      <c r="M36" s="8"/>
      <c r="N36" s="8"/>
      <c r="O36" s="8"/>
      <c r="P36" s="8"/>
      <c r="Q36" s="8"/>
    </row>
    <row r="38" spans="3:17" x14ac:dyDescent="0.25">
      <c r="C38" s="7" t="s">
        <v>19</v>
      </c>
    </row>
    <row r="39" spans="3:17" x14ac:dyDescent="0.25">
      <c r="C39" t="s">
        <v>16</v>
      </c>
    </row>
    <row r="41" spans="3:17" x14ac:dyDescent="0.25">
      <c r="D41" t="s">
        <v>22</v>
      </c>
    </row>
    <row r="42" spans="3:17" x14ac:dyDescent="0.25">
      <c r="C42" s="7"/>
    </row>
    <row r="43" spans="3:17" x14ac:dyDescent="0.25">
      <c r="C43" s="18" t="s">
        <v>20</v>
      </c>
      <c r="D43" s="18" t="s">
        <v>6</v>
      </c>
      <c r="E43" s="18" t="s">
        <v>7</v>
      </c>
      <c r="F43" s="18" t="s">
        <v>21</v>
      </c>
    </row>
    <row r="44" spans="3:17" x14ac:dyDescent="0.25">
      <c r="C44">
        <v>0</v>
      </c>
      <c r="D44">
        <v>5.6</v>
      </c>
      <c r="E44">
        <f>3*SIN(0.5*D44)-0.5*D44+2</f>
        <v>0.2049644504677155</v>
      </c>
      <c r="F44" s="10">
        <v>5.0000000000000001E-4</v>
      </c>
    </row>
    <row r="45" spans="3:17" x14ac:dyDescent="0.25">
      <c r="C45">
        <v>1</v>
      </c>
      <c r="D45">
        <v>5.8</v>
      </c>
      <c r="E45">
        <f t="shared" ref="E45:E49" si="8">3*SIN(0.5*D45)-0.5*D45+2</f>
        <v>-0.18225201235805244</v>
      </c>
    </row>
    <row r="46" spans="3:17" x14ac:dyDescent="0.25">
      <c r="C46">
        <v>2</v>
      </c>
      <c r="D46" s="11">
        <f>+D45-E45*((D45-D44)/(E45-E44))</f>
        <v>5.7058655662375291</v>
      </c>
      <c r="E46">
        <f t="shared" si="8"/>
        <v>1.0706102757900293E-3</v>
      </c>
    </row>
    <row r="47" spans="3:17" x14ac:dyDescent="0.25">
      <c r="C47">
        <v>3</v>
      </c>
      <c r="D47" s="4">
        <f>+D46-E46*((D46-D45)/(E46-E45))</f>
        <v>5.7064153144936025</v>
      </c>
      <c r="E47">
        <f t="shared" si="8"/>
        <v>5.1992497036579266E-6</v>
      </c>
      <c r="H47" t="s">
        <v>28</v>
      </c>
    </row>
    <row r="48" spans="3:17" x14ac:dyDescent="0.25">
      <c r="C48">
        <v>4</v>
      </c>
      <c r="D48" s="2">
        <f>+D47-E47*((D47-D46)/(E47-E46))</f>
        <v>5.7064179972877422</v>
      </c>
      <c r="E48">
        <f t="shared" si="8"/>
        <v>-1.5811174591817689E-10</v>
      </c>
      <c r="L48" s="7"/>
    </row>
    <row r="49" spans="3:17" x14ac:dyDescent="0.25">
      <c r="C49">
        <v>5</v>
      </c>
      <c r="D49" s="2">
        <f>+D48-E48*((D48-D47)/(E48-E47))</f>
        <v>5.7064179972061595</v>
      </c>
      <c r="E49">
        <f t="shared" si="8"/>
        <v>0</v>
      </c>
    </row>
    <row r="51" spans="3:17" x14ac:dyDescent="0.25">
      <c r="L51" s="8"/>
      <c r="M51" s="8"/>
      <c r="N51" s="8"/>
      <c r="O51" s="8"/>
      <c r="P51" s="8"/>
      <c r="Q51" s="8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G64"/>
  <sheetViews>
    <sheetView topLeftCell="I1" zoomScale="92" zoomScaleNormal="145" workbookViewId="0">
      <selection activeCell="AH37" sqref="AH37"/>
    </sheetView>
  </sheetViews>
  <sheetFormatPr baseColWidth="10" defaultColWidth="9.140625" defaultRowHeight="15" x14ac:dyDescent="0.25"/>
  <cols>
    <col min="12" max="12" width="9.140625" style="15"/>
    <col min="23" max="23" width="9.140625" style="15"/>
  </cols>
  <sheetData>
    <row r="1" spans="2:33" x14ac:dyDescent="0.25">
      <c r="L1" t="s">
        <v>38</v>
      </c>
    </row>
    <row r="2" spans="2:33" ht="15.75" x14ac:dyDescent="0.25">
      <c r="L2" s="30" t="s">
        <v>30</v>
      </c>
    </row>
    <row r="3" spans="2:33" ht="15.75" x14ac:dyDescent="0.25">
      <c r="L3" s="30" t="s">
        <v>41</v>
      </c>
    </row>
    <row r="4" spans="2:33" ht="15.75" x14ac:dyDescent="0.25">
      <c r="L4" s="30" t="s">
        <v>35</v>
      </c>
    </row>
    <row r="5" spans="2:33" ht="15.75" x14ac:dyDescent="0.25">
      <c r="L5" s="30" t="s">
        <v>36</v>
      </c>
      <c r="Z5" s="7" t="s">
        <v>29</v>
      </c>
    </row>
    <row r="8" spans="2:33" x14ac:dyDescent="0.25">
      <c r="C8" s="2" t="s">
        <v>6</v>
      </c>
      <c r="D8" s="2" t="s">
        <v>7</v>
      </c>
      <c r="J8" s="9" t="s">
        <v>21</v>
      </c>
      <c r="Z8" s="2" t="s">
        <v>6</v>
      </c>
      <c r="AA8" s="2" t="s">
        <v>7</v>
      </c>
      <c r="AG8" s="9" t="s">
        <v>21</v>
      </c>
    </row>
    <row r="9" spans="2:33" x14ac:dyDescent="0.25">
      <c r="B9" t="s">
        <v>0</v>
      </c>
      <c r="C9" s="3">
        <v>-1.5</v>
      </c>
      <c r="D9" s="3">
        <f>C9^3-(C9^2*EXP(-0.5*C9))-3*C9+1</f>
        <v>-2.6382500373785192</v>
      </c>
      <c r="F9" t="s">
        <v>25</v>
      </c>
      <c r="J9" s="10">
        <v>5.0000000000000001E-4</v>
      </c>
      <c r="Y9" t="s">
        <v>0</v>
      </c>
      <c r="Z9" s="3">
        <v>1.5</v>
      </c>
      <c r="AA9" s="3">
        <f>Z9^3-(Z9^2*EXP(-0.5*Z9))-3*Z9+1</f>
        <v>-1.1878247436672833</v>
      </c>
      <c r="AC9" t="s">
        <v>25</v>
      </c>
      <c r="AG9" s="10">
        <v>5.0000000000000001E-4</v>
      </c>
    </row>
    <row r="10" spans="2:33" x14ac:dyDescent="0.25">
      <c r="B10" t="s">
        <v>1</v>
      </c>
      <c r="C10" s="3">
        <v>-1</v>
      </c>
      <c r="D10" s="3">
        <f>C10^3-(C10^2*EXP(-0.5*C10))-3*C10+1</f>
        <v>1.3512787292998718</v>
      </c>
      <c r="F10" s="12"/>
      <c r="Y10" t="s">
        <v>1</v>
      </c>
      <c r="Z10" s="3">
        <v>2</v>
      </c>
      <c r="AA10" s="3">
        <f>Z10^3-(Z10^2*EXP(-0.5*Z10))-3*Z10+1</f>
        <v>1.5284822353142307</v>
      </c>
      <c r="AC10" s="12"/>
    </row>
    <row r="11" spans="2:33" x14ac:dyDescent="0.25">
      <c r="I11" s="5" t="s">
        <v>12</v>
      </c>
      <c r="AF11" t="s">
        <v>12</v>
      </c>
    </row>
    <row r="12" spans="2:33" x14ac:dyDescent="0.25">
      <c r="B12" s="7" t="s">
        <v>24</v>
      </c>
      <c r="Y12" s="7" t="s">
        <v>40</v>
      </c>
    </row>
    <row r="13" spans="2:33" x14ac:dyDescent="0.25">
      <c r="B13" s="19" t="s">
        <v>20</v>
      </c>
      <c r="C13" s="20" t="s">
        <v>0</v>
      </c>
      <c r="D13" s="20" t="s">
        <v>1</v>
      </c>
      <c r="E13" s="20" t="s">
        <v>2</v>
      </c>
      <c r="F13" s="20" t="s">
        <v>3</v>
      </c>
      <c r="G13" s="20" t="s">
        <v>4</v>
      </c>
      <c r="H13" s="20" t="s">
        <v>5</v>
      </c>
      <c r="I13" s="8"/>
      <c r="Y13" s="19" t="s">
        <v>20</v>
      </c>
      <c r="Z13" s="20" t="s">
        <v>0</v>
      </c>
      <c r="AA13" s="20" t="s">
        <v>1</v>
      </c>
      <c r="AB13" s="20" t="s">
        <v>2</v>
      </c>
      <c r="AC13" s="20" t="s">
        <v>3</v>
      </c>
      <c r="AD13" s="20" t="s">
        <v>4</v>
      </c>
      <c r="AE13" s="20" t="s">
        <v>5</v>
      </c>
      <c r="AF13" s="8"/>
    </row>
    <row r="14" spans="2:33" x14ac:dyDescent="0.25">
      <c r="B14">
        <v>0</v>
      </c>
      <c r="C14">
        <v>-1.5</v>
      </c>
      <c r="D14">
        <v>-1</v>
      </c>
      <c r="E14">
        <f>(C14+D14)/2</f>
        <v>-1.25</v>
      </c>
      <c r="F14">
        <f>C14^3-((C14^2)*EXP(-0.5*C14))-3*C14+1</f>
        <v>-2.6382500373785192</v>
      </c>
      <c r="G14">
        <f t="shared" ref="G14:G19" si="0">D14^3-(D14^2*EXP(-0.5*D14))-3*D14+1</f>
        <v>1.3512787292998718</v>
      </c>
      <c r="H14">
        <f t="shared" ref="H14:H19" si="1">E14^3-(E14^2*EXP(-0.5*E14))-3*E14+1</f>
        <v>-0.12225930848784738</v>
      </c>
      <c r="O14" s="2" t="s">
        <v>6</v>
      </c>
      <c r="P14" s="2" t="s">
        <v>7</v>
      </c>
      <c r="V14" s="9" t="s">
        <v>21</v>
      </c>
      <c r="Y14">
        <v>0</v>
      </c>
      <c r="Z14">
        <v>1.5</v>
      </c>
      <c r="AA14">
        <v>2</v>
      </c>
      <c r="AB14">
        <f>(Z14+AA14)/2</f>
        <v>1.75</v>
      </c>
      <c r="AC14">
        <f>Z14^3-(Z14^2*EXP(-0.5*Z14))-3*Z14+1</f>
        <v>-1.1878247436672833</v>
      </c>
      <c r="AD14">
        <f t="shared" ref="AD14:AE14" si="2">AA14^3-(AA14^2*EXP(-0.5*AA14))-3*AA14+1</f>
        <v>1.5284822353142307</v>
      </c>
      <c r="AE14">
        <f t="shared" si="2"/>
        <v>-0.16726493526543162</v>
      </c>
    </row>
    <row r="15" spans="2:33" x14ac:dyDescent="0.25">
      <c r="B15">
        <v>1</v>
      </c>
      <c r="C15">
        <f>E14</f>
        <v>-1.25</v>
      </c>
      <c r="D15">
        <f>D14</f>
        <v>-1</v>
      </c>
      <c r="E15">
        <f t="shared" ref="E15:E19" si="3">(C15+D15)/2</f>
        <v>-1.125</v>
      </c>
      <c r="F15">
        <f>C15^3-((C15^2)*EXP(-0.5*C15))-3*C15+1</f>
        <v>-0.12225930848784738</v>
      </c>
      <c r="G15">
        <f t="shared" si="0"/>
        <v>1.3512787292998718</v>
      </c>
      <c r="H15">
        <f t="shared" si="1"/>
        <v>0.72993082478462235</v>
      </c>
      <c r="N15" t="s">
        <v>0</v>
      </c>
      <c r="O15" s="3">
        <v>0</v>
      </c>
      <c r="P15" s="3">
        <f>O15^3-(O15^2*EXP(-0.5*O15))-3*O15+1</f>
        <v>1</v>
      </c>
      <c r="R15" t="s">
        <v>25</v>
      </c>
      <c r="V15" s="10">
        <v>5.0000000000000001E-4</v>
      </c>
      <c r="Y15">
        <v>1</v>
      </c>
      <c r="Z15">
        <f>AB14</f>
        <v>1.75</v>
      </c>
      <c r="AA15">
        <f>AA14</f>
        <v>2</v>
      </c>
      <c r="AB15">
        <f t="shared" ref="AB15:AB19" si="4">(Z15+AA15)/2</f>
        <v>1.875</v>
      </c>
      <c r="AC15">
        <f t="shared" ref="AC15:AC19" si="5">Z15^3-(Z15^2*EXP(-0.5*Z15))-3*Z15+1</f>
        <v>-0.16726493526543162</v>
      </c>
      <c r="AD15">
        <f t="shared" ref="AD15:AD19" si="6">AA15^3-(AA15^2*EXP(-0.5*AA15))-3*AA15+1</f>
        <v>1.5284822353142307</v>
      </c>
      <c r="AE15">
        <f t="shared" ref="AE15:AE19" si="7">AB15^3-(AB15^2*EXP(-0.5*AB15))-3*AB15+1</f>
        <v>0.59005834371437871</v>
      </c>
    </row>
    <row r="16" spans="2:33" x14ac:dyDescent="0.25">
      <c r="B16">
        <v>2</v>
      </c>
      <c r="C16">
        <f>C15</f>
        <v>-1.25</v>
      </c>
      <c r="D16">
        <f>E15</f>
        <v>-1.125</v>
      </c>
      <c r="E16">
        <f t="shared" si="3"/>
        <v>-1.1875</v>
      </c>
      <c r="F16">
        <f t="shared" ref="F16:F19" si="8">C16^3-(C16^2*EXP(-0.5*C16))-3*C16+1</f>
        <v>-0.12225930848784738</v>
      </c>
      <c r="G16">
        <f t="shared" si="0"/>
        <v>0.72993082478462235</v>
      </c>
      <c r="H16">
        <f t="shared" si="1"/>
        <v>0.33447635923789498</v>
      </c>
      <c r="N16" t="s">
        <v>1</v>
      </c>
      <c r="O16" s="3">
        <v>0.5</v>
      </c>
      <c r="P16" s="3">
        <f>O16^3-(O16^2*EXP(-0.5*O16))-3*O16+1</f>
        <v>-0.56970019576785114</v>
      </c>
      <c r="R16" s="12"/>
      <c r="Y16">
        <v>2</v>
      </c>
      <c r="Z16">
        <f>Z15</f>
        <v>1.75</v>
      </c>
      <c r="AA16">
        <f>AB15</f>
        <v>1.875</v>
      </c>
      <c r="AB16">
        <f t="shared" si="4"/>
        <v>1.8125</v>
      </c>
      <c r="AC16">
        <f t="shared" si="5"/>
        <v>-0.16726493526543162</v>
      </c>
      <c r="AD16">
        <f t="shared" si="6"/>
        <v>0.59005834371437871</v>
      </c>
      <c r="AE16">
        <f t="shared" si="7"/>
        <v>0.18952259218409928</v>
      </c>
    </row>
    <row r="17" spans="2:31" x14ac:dyDescent="0.25">
      <c r="B17">
        <v>3</v>
      </c>
      <c r="C17">
        <f>C16</f>
        <v>-1.25</v>
      </c>
      <c r="D17">
        <f>E16</f>
        <v>-1.1875</v>
      </c>
      <c r="E17">
        <f t="shared" si="3"/>
        <v>-1.21875</v>
      </c>
      <c r="F17">
        <f t="shared" si="8"/>
        <v>-0.12225930848784738</v>
      </c>
      <c r="G17">
        <f t="shared" si="0"/>
        <v>0.33447635923789498</v>
      </c>
      <c r="H17">
        <f t="shared" si="1"/>
        <v>0.11399815032026517</v>
      </c>
      <c r="U17" s="5" t="s">
        <v>12</v>
      </c>
      <c r="Y17">
        <v>3</v>
      </c>
      <c r="Z17">
        <f>Z16</f>
        <v>1.75</v>
      </c>
      <c r="AA17">
        <f>AB16</f>
        <v>1.8125</v>
      </c>
      <c r="AB17">
        <f t="shared" si="4"/>
        <v>1.78125</v>
      </c>
      <c r="AC17">
        <f t="shared" si="5"/>
        <v>-0.16726493526543162</v>
      </c>
      <c r="AD17">
        <f t="shared" si="6"/>
        <v>0.18952259218409928</v>
      </c>
      <c r="AE17">
        <f t="shared" si="7"/>
        <v>5.7561880955994127E-3</v>
      </c>
    </row>
    <row r="18" spans="2:31" x14ac:dyDescent="0.25">
      <c r="B18">
        <v>4</v>
      </c>
      <c r="C18">
        <f>C17</f>
        <v>-1.25</v>
      </c>
      <c r="D18">
        <f>E17</f>
        <v>-1.21875</v>
      </c>
      <c r="E18">
        <f>(C18+D18)/2</f>
        <v>-1.234375</v>
      </c>
      <c r="F18">
        <f t="shared" si="8"/>
        <v>-0.12225930848784738</v>
      </c>
      <c r="G18">
        <f t="shared" si="0"/>
        <v>0.11399815032026517</v>
      </c>
      <c r="H18">
        <f t="shared" si="1"/>
        <v>-2.1290798148916323E-3</v>
      </c>
      <c r="N18" s="7" t="s">
        <v>39</v>
      </c>
      <c r="Y18">
        <v>4</v>
      </c>
      <c r="Z18">
        <f>Z17</f>
        <v>1.75</v>
      </c>
      <c r="AA18">
        <f>AB17</f>
        <v>1.78125</v>
      </c>
      <c r="AB18">
        <f t="shared" si="4"/>
        <v>1.765625</v>
      </c>
      <c r="AC18">
        <f t="shared" si="5"/>
        <v>-0.16726493526543162</v>
      </c>
      <c r="AD18">
        <f t="shared" si="6"/>
        <v>5.7561880955994127E-3</v>
      </c>
      <c r="AE18">
        <f t="shared" si="7"/>
        <v>-8.2085517878812908E-2</v>
      </c>
    </row>
    <row r="19" spans="2:31" x14ac:dyDescent="0.25">
      <c r="B19">
        <v>5</v>
      </c>
      <c r="C19">
        <f>E18</f>
        <v>-1.234375</v>
      </c>
      <c r="D19">
        <f>D18</f>
        <v>-1.21875</v>
      </c>
      <c r="E19">
        <f t="shared" si="3"/>
        <v>-1.2265625</v>
      </c>
      <c r="F19">
        <f t="shared" si="8"/>
        <v>-2.1290798148916323E-3</v>
      </c>
      <c r="G19">
        <f t="shared" si="0"/>
        <v>0.11399815032026517</v>
      </c>
      <c r="H19">
        <f t="shared" si="1"/>
        <v>5.6431254909981021E-2</v>
      </c>
      <c r="N19" s="19" t="s">
        <v>20</v>
      </c>
      <c r="O19" s="20" t="s">
        <v>0</v>
      </c>
      <c r="P19" s="20" t="s">
        <v>1</v>
      </c>
      <c r="Q19" s="20" t="s">
        <v>2</v>
      </c>
      <c r="R19" s="20" t="s">
        <v>3</v>
      </c>
      <c r="S19" s="20" t="s">
        <v>4</v>
      </c>
      <c r="T19" s="20" t="s">
        <v>5</v>
      </c>
      <c r="U19" s="8"/>
      <c r="Y19">
        <v>5</v>
      </c>
      <c r="Z19">
        <f>AB18</f>
        <v>1.765625</v>
      </c>
      <c r="AA19">
        <f>AA18</f>
        <v>1.78125</v>
      </c>
      <c r="AB19">
        <f t="shared" si="4"/>
        <v>1.7734375</v>
      </c>
      <c r="AC19">
        <f t="shared" si="5"/>
        <v>-8.2085517878812908E-2</v>
      </c>
      <c r="AD19">
        <f t="shared" si="6"/>
        <v>5.7561880955994127E-3</v>
      </c>
      <c r="AE19">
        <f t="shared" si="7"/>
        <v>-3.8498954300466792E-2</v>
      </c>
    </row>
    <row r="20" spans="2:31" x14ac:dyDescent="0.25">
      <c r="B20">
        <v>6</v>
      </c>
      <c r="C20">
        <f>C19</f>
        <v>-1.234375</v>
      </c>
      <c r="D20">
        <f>E19</f>
        <v>-1.2265625</v>
      </c>
      <c r="E20">
        <f t="shared" ref="E20:E25" si="9">(C20+D20)/2</f>
        <v>-1.23046875</v>
      </c>
      <c r="F20">
        <f t="shared" ref="F20:F25" si="10">C20^3-(C20^2*EXP(-0.5*C20))-3*C20+1</f>
        <v>-2.1290798148916323E-3</v>
      </c>
      <c r="G20">
        <f t="shared" ref="G20:G25" si="11">D20^3-(D20^2*EXP(-0.5*D20))-3*D20+1</f>
        <v>5.6431254909981021E-2</v>
      </c>
      <c r="H20">
        <f t="shared" ref="H20:H25" si="12">E20^3-(E20^2*EXP(-0.5*E20))-3*E20+1</f>
        <v>2.7275723191040768E-2</v>
      </c>
      <c r="N20">
        <v>0</v>
      </c>
      <c r="O20">
        <v>0</v>
      </c>
      <c r="P20">
        <v>0.5</v>
      </c>
      <c r="Q20">
        <f>(O20+P20)/2</f>
        <v>0.25</v>
      </c>
      <c r="R20">
        <f>O20^3-(O20^2*EXP(-0.5*O20))-3*O20+1</f>
        <v>1</v>
      </c>
      <c r="S20">
        <f>P20^3-(P20^2*EXP(-0.5*P20))-3*P20+1</f>
        <v>-0.56970019576785114</v>
      </c>
      <c r="T20">
        <f t="shared" ref="T20:T23" si="13">Q20^3-(Q20^2*EXP(-0.5*Q20))-3*Q20+1</f>
        <v>0.2104689435884628</v>
      </c>
      <c r="Y20">
        <v>6</v>
      </c>
      <c r="Z20">
        <f>AB19</f>
        <v>1.7734375</v>
      </c>
      <c r="AA20">
        <f>AA19</f>
        <v>1.78125</v>
      </c>
      <c r="AB20">
        <f t="shared" ref="AB20:AB22" si="14">(Z20+AA20)/2</f>
        <v>1.77734375</v>
      </c>
      <c r="AC20">
        <f t="shared" ref="AC20:AC22" si="15">Z20^3-(Z20^2*EXP(-0.5*Z20))-3*Z20+1</f>
        <v>-3.8498954300466792E-2</v>
      </c>
      <c r="AD20">
        <f t="shared" ref="AD20:AD22" si="16">AA20^3-(AA20^2*EXP(-0.5*AA20))-3*AA20+1</f>
        <v>5.7561880955994127E-3</v>
      </c>
      <c r="AE20">
        <f t="shared" ref="AE20:AE22" si="17">AB20^3-(AB20^2*EXP(-0.5*AB20))-3*AB20+1</f>
        <v>-1.6455143251628002E-2</v>
      </c>
    </row>
    <row r="21" spans="2:31" x14ac:dyDescent="0.25">
      <c r="B21">
        <v>7</v>
      </c>
      <c r="C21">
        <f>C20</f>
        <v>-1.234375</v>
      </c>
      <c r="D21">
        <f>E20</f>
        <v>-1.23046875</v>
      </c>
      <c r="E21">
        <f t="shared" si="9"/>
        <v>-1.232421875</v>
      </c>
      <c r="F21">
        <f t="shared" si="10"/>
        <v>-2.1290798148916323E-3</v>
      </c>
      <c r="G21">
        <f t="shared" si="11"/>
        <v>2.7275723191040768E-2</v>
      </c>
      <c r="H21">
        <f t="shared" si="12"/>
        <v>1.2604537666828897E-2</v>
      </c>
      <c r="N21">
        <v>1</v>
      </c>
      <c r="O21">
        <f>Q20</f>
        <v>0.25</v>
      </c>
      <c r="P21">
        <f>P20</f>
        <v>0.5</v>
      </c>
      <c r="Q21">
        <f t="shared" ref="Q21:Q23" si="18">(O21+P21)/2</f>
        <v>0.375</v>
      </c>
      <c r="R21">
        <f t="shared" ref="R21:R23" si="19">O21^3-(O21^2*EXP(-0.5*O21))-3*O21+1</f>
        <v>0.2104689435884628</v>
      </c>
      <c r="S21">
        <f t="shared" ref="S21:S23" si="20">P21^3-(P21^2*EXP(-0.5*P21))-3*P21+1</f>
        <v>-0.56970019576785114</v>
      </c>
      <c r="T21">
        <f t="shared" si="13"/>
        <v>-0.18884784474411886</v>
      </c>
      <c r="Y21">
        <v>7</v>
      </c>
      <c r="Z21">
        <f>AB20</f>
        <v>1.77734375</v>
      </c>
      <c r="AA21">
        <f>AA20</f>
        <v>1.78125</v>
      </c>
      <c r="AB21">
        <f t="shared" si="14"/>
        <v>1.779296875</v>
      </c>
      <c r="AC21">
        <f t="shared" si="15"/>
        <v>-1.6455143251628002E-2</v>
      </c>
      <c r="AD21">
        <f t="shared" si="16"/>
        <v>5.7561880955994127E-3</v>
      </c>
      <c r="AE21">
        <f t="shared" si="17"/>
        <v>-5.3704410824852999E-3</v>
      </c>
    </row>
    <row r="22" spans="2:31" x14ac:dyDescent="0.25">
      <c r="B22">
        <v>8</v>
      </c>
      <c r="C22">
        <f>C21</f>
        <v>-1.234375</v>
      </c>
      <c r="D22">
        <f>E21</f>
        <v>-1.232421875</v>
      </c>
      <c r="E22">
        <f t="shared" si="9"/>
        <v>-1.2333984375</v>
      </c>
      <c r="F22">
        <f t="shared" si="10"/>
        <v>-2.1290798148916323E-3</v>
      </c>
      <c r="G22">
        <f t="shared" si="11"/>
        <v>1.2604537666828897E-2</v>
      </c>
      <c r="H22">
        <f t="shared" si="12"/>
        <v>5.2455400605149194E-3</v>
      </c>
      <c r="N22">
        <v>2</v>
      </c>
      <c r="O22">
        <f>O21</f>
        <v>0.25</v>
      </c>
      <c r="P22">
        <f>Q21</f>
        <v>0.375</v>
      </c>
      <c r="Q22">
        <f t="shared" si="18"/>
        <v>0.3125</v>
      </c>
      <c r="R22">
        <f t="shared" si="19"/>
        <v>0.2104689435884628</v>
      </c>
      <c r="S22">
        <f t="shared" si="20"/>
        <v>-0.18884784474411886</v>
      </c>
      <c r="T22">
        <f t="shared" si="13"/>
        <v>9.4877610051344874E-3</v>
      </c>
      <c r="Y22">
        <v>8</v>
      </c>
      <c r="Z22">
        <f>AB21</f>
        <v>1.779296875</v>
      </c>
      <c r="AA22">
        <f>AA21</f>
        <v>1.78125</v>
      </c>
      <c r="AB22" s="4">
        <f t="shared" si="14"/>
        <v>1.7802734375</v>
      </c>
      <c r="AC22">
        <f t="shared" si="15"/>
        <v>-5.3704410824852999E-3</v>
      </c>
      <c r="AD22">
        <f t="shared" si="16"/>
        <v>5.7561880955994127E-3</v>
      </c>
      <c r="AE22">
        <f t="shared" si="17"/>
        <v>1.8762969750696357E-4</v>
      </c>
    </row>
    <row r="23" spans="2:31" x14ac:dyDescent="0.25">
      <c r="B23">
        <v>9</v>
      </c>
      <c r="C23">
        <f>C22</f>
        <v>-1.234375</v>
      </c>
      <c r="D23">
        <f>E22</f>
        <v>-1.2333984375</v>
      </c>
      <c r="E23">
        <f t="shared" si="9"/>
        <v>-1.23388671875</v>
      </c>
      <c r="F23">
        <f t="shared" si="10"/>
        <v>-2.1290798148916323E-3</v>
      </c>
      <c r="G23">
        <f t="shared" si="11"/>
        <v>5.2455400605149194E-3</v>
      </c>
      <c r="H23">
        <f t="shared" si="12"/>
        <v>1.5601837993290957E-3</v>
      </c>
      <c r="N23">
        <v>3</v>
      </c>
      <c r="O23">
        <f>Q22</f>
        <v>0.3125</v>
      </c>
      <c r="P23">
        <f>P22</f>
        <v>0.375</v>
      </c>
      <c r="Q23">
        <f t="shared" si="18"/>
        <v>0.34375</v>
      </c>
      <c r="R23">
        <f t="shared" si="19"/>
        <v>9.4877610051344874E-3</v>
      </c>
      <c r="S23">
        <f t="shared" si="20"/>
        <v>-0.18884784474411886</v>
      </c>
      <c r="T23">
        <f t="shared" si="13"/>
        <v>-9.0135220394872428E-2</v>
      </c>
      <c r="AB23" t="s">
        <v>13</v>
      </c>
    </row>
    <row r="24" spans="2:31" x14ac:dyDescent="0.25">
      <c r="B24">
        <v>10</v>
      </c>
      <c r="C24">
        <f>C23</f>
        <v>-1.234375</v>
      </c>
      <c r="D24">
        <f>E23</f>
        <v>-1.23388671875</v>
      </c>
      <c r="E24">
        <f t="shared" si="9"/>
        <v>-1.234130859375</v>
      </c>
      <c r="F24">
        <f t="shared" si="10"/>
        <v>-2.1290798148916323E-3</v>
      </c>
      <c r="G24">
        <f t="shared" si="11"/>
        <v>1.5601837993290957E-3</v>
      </c>
      <c r="H24">
        <f t="shared" si="12"/>
        <v>-2.8395947701653768E-4</v>
      </c>
      <c r="N24">
        <v>4</v>
      </c>
      <c r="O24">
        <f>O23</f>
        <v>0.3125</v>
      </c>
      <c r="P24">
        <f>Q23</f>
        <v>0.34375</v>
      </c>
      <c r="Q24">
        <f t="shared" ref="Q24:Q25" si="21">(O24+P24)/2</f>
        <v>0.328125</v>
      </c>
      <c r="R24">
        <f t="shared" ref="R24:R25" si="22">O24^3-(O24^2*EXP(-0.5*O24))-3*O24+1</f>
        <v>9.4877610051344874E-3</v>
      </c>
      <c r="S24">
        <f t="shared" ref="S24:S25" si="23">P24^3-(P24^2*EXP(-0.5*P24))-3*P24+1</f>
        <v>-9.0135220394872428E-2</v>
      </c>
      <c r="T24">
        <f t="shared" ref="T24:T25" si="24">Q24^3-(Q24^2*EXP(-0.5*Q24))-3*Q24+1</f>
        <v>-4.0422049298882712E-2</v>
      </c>
    </row>
    <row r="25" spans="2:31" x14ac:dyDescent="0.25">
      <c r="B25">
        <v>11</v>
      </c>
      <c r="C25">
        <f>E24</f>
        <v>-1.234130859375</v>
      </c>
      <c r="D25">
        <f>D24</f>
        <v>-1.23388671875</v>
      </c>
      <c r="E25">
        <f t="shared" si="9"/>
        <v>-1.2340087890625</v>
      </c>
      <c r="F25">
        <f t="shared" si="10"/>
        <v>-2.8395947701653768E-4</v>
      </c>
      <c r="G25">
        <f t="shared" si="11"/>
        <v>1.5601837993290957E-3</v>
      </c>
      <c r="H25">
        <f t="shared" si="12"/>
        <v>6.3823427989184722E-4</v>
      </c>
      <c r="N25">
        <v>5</v>
      </c>
      <c r="O25">
        <f>O24</f>
        <v>0.3125</v>
      </c>
      <c r="P25">
        <f>Q24</f>
        <v>0.328125</v>
      </c>
      <c r="Q25">
        <f t="shared" si="21"/>
        <v>0.3203125</v>
      </c>
      <c r="R25">
        <f t="shared" si="22"/>
        <v>9.4877610051344874E-3</v>
      </c>
      <c r="S25">
        <f t="shared" si="23"/>
        <v>-4.0422049298882712E-2</v>
      </c>
      <c r="T25">
        <f t="shared" si="24"/>
        <v>-1.5489782308668598E-2</v>
      </c>
    </row>
    <row r="26" spans="2:31" x14ac:dyDescent="0.25">
      <c r="B26">
        <v>12</v>
      </c>
      <c r="C26">
        <f>C25</f>
        <v>-1.234130859375</v>
      </c>
      <c r="D26">
        <f>E25</f>
        <v>-1.2340087890625</v>
      </c>
      <c r="E26" s="4">
        <f t="shared" ref="E26:E27" si="25">(C26+D26)/2</f>
        <v>-1.23406982421875</v>
      </c>
      <c r="F26">
        <f t="shared" ref="F26:F27" si="26">C26^3-(C26^2*EXP(-0.5*C26))-3*C26+1</f>
        <v>-2.8395947701653768E-4</v>
      </c>
      <c r="G26">
        <f t="shared" ref="G26:G27" si="27">D26^3-(D26^2*EXP(-0.5*D26))-3*D26+1</f>
        <v>6.3823427989184722E-4</v>
      </c>
      <c r="H26">
        <f t="shared" ref="H26:H27" si="28">E26^3-(E26^2*EXP(-0.5*E26))-3*E26+1</f>
        <v>1.771679328657072E-4</v>
      </c>
      <c r="N26">
        <v>6</v>
      </c>
      <c r="O26">
        <f>O25</f>
        <v>0.3125</v>
      </c>
      <c r="P26">
        <f>Q25</f>
        <v>0.3203125</v>
      </c>
      <c r="Q26">
        <f t="shared" ref="Q26:Q28" si="29">(O26+P26)/2</f>
        <v>0.31640625</v>
      </c>
      <c r="R26">
        <f t="shared" ref="R26:R28" si="30">O26^3-(O26^2*EXP(-0.5*O26))-3*O26+1</f>
        <v>9.4877610051344874E-3</v>
      </c>
      <c r="S26">
        <f t="shared" ref="S26:S28" si="31">P26^3-(P26^2*EXP(-0.5*P26))-3*P26+1</f>
        <v>-1.5489782308668598E-2</v>
      </c>
      <c r="T26">
        <f t="shared" ref="T26:T28" si="32">Q26^3-(Q26^2*EXP(-0.5*Q26))-3*Q26+1</f>
        <v>-3.006427010124435E-3</v>
      </c>
    </row>
    <row r="27" spans="2:31" x14ac:dyDescent="0.25">
      <c r="B27">
        <v>13</v>
      </c>
      <c r="C27">
        <f>C26</f>
        <v>-1.234130859375</v>
      </c>
      <c r="D27">
        <f>E26</f>
        <v>-1.23406982421875</v>
      </c>
      <c r="E27" s="4">
        <f t="shared" si="25"/>
        <v>-1.234100341796875</v>
      </c>
      <c r="F27">
        <f t="shared" si="26"/>
        <v>-2.8395947701653768E-4</v>
      </c>
      <c r="G27">
        <f t="shared" si="27"/>
        <v>1.771679328657072E-4</v>
      </c>
      <c r="H27">
        <f t="shared" si="28"/>
        <v>-5.3388139001242507E-5</v>
      </c>
      <c r="N27">
        <v>7</v>
      </c>
      <c r="O27">
        <f>O26</f>
        <v>0.3125</v>
      </c>
      <c r="P27">
        <f>Q26</f>
        <v>0.31640625</v>
      </c>
      <c r="Q27">
        <f t="shared" si="29"/>
        <v>0.314453125</v>
      </c>
      <c r="R27">
        <f t="shared" si="30"/>
        <v>9.4877610051344874E-3</v>
      </c>
      <c r="S27">
        <f t="shared" si="31"/>
        <v>-3.006427010124435E-3</v>
      </c>
      <c r="T27">
        <f t="shared" si="32"/>
        <v>3.239343334866418E-3</v>
      </c>
    </row>
    <row r="28" spans="2:31" x14ac:dyDescent="0.25">
      <c r="E28" t="s">
        <v>13</v>
      </c>
      <c r="N28">
        <v>8</v>
      </c>
      <c r="O28">
        <f>Q27</f>
        <v>0.314453125</v>
      </c>
      <c r="P28">
        <f>P27</f>
        <v>0.31640625</v>
      </c>
      <c r="Q28" s="4">
        <f t="shared" si="29"/>
        <v>0.3154296875</v>
      </c>
      <c r="R28">
        <f t="shared" si="30"/>
        <v>3.239343334866418E-3</v>
      </c>
      <c r="S28">
        <f t="shared" si="31"/>
        <v>-3.006427010124435E-3</v>
      </c>
      <c r="T28">
        <f t="shared" si="32"/>
        <v>1.1612344203659752E-4</v>
      </c>
    </row>
    <row r="29" spans="2:31" x14ac:dyDescent="0.25">
      <c r="Q29" t="s">
        <v>13</v>
      </c>
    </row>
    <row r="31" spans="2:31" x14ac:dyDescent="0.25">
      <c r="D31" t="s">
        <v>25</v>
      </c>
      <c r="AA31" t="s">
        <v>25</v>
      </c>
    </row>
    <row r="32" spans="2:31" x14ac:dyDescent="0.25">
      <c r="C32" s="7" t="s">
        <v>9</v>
      </c>
      <c r="Z32" s="7" t="s">
        <v>9</v>
      </c>
    </row>
    <row r="33" spans="3:31" x14ac:dyDescent="0.25">
      <c r="C33" t="s">
        <v>16</v>
      </c>
      <c r="Z33" t="s">
        <v>26</v>
      </c>
    </row>
    <row r="35" spans="3:31" x14ac:dyDescent="0.25">
      <c r="I35" s="9" t="s">
        <v>21</v>
      </c>
    </row>
    <row r="36" spans="3:31" x14ac:dyDescent="0.25">
      <c r="I36" s="10">
        <v>5.0000000000000001E-4</v>
      </c>
    </row>
    <row r="37" spans="3:31" x14ac:dyDescent="0.25">
      <c r="G37" t="s">
        <v>18</v>
      </c>
      <c r="P37" t="s">
        <v>25</v>
      </c>
      <c r="Z37" s="7"/>
      <c r="AD37" t="s">
        <v>18</v>
      </c>
    </row>
    <row r="38" spans="3:31" x14ac:dyDescent="0.25">
      <c r="C38" s="20" t="s">
        <v>20</v>
      </c>
      <c r="D38" s="20" t="s">
        <v>6</v>
      </c>
      <c r="E38" s="20" t="s">
        <v>7</v>
      </c>
      <c r="F38" s="20" t="s">
        <v>8</v>
      </c>
      <c r="G38" s="8"/>
      <c r="H38" s="8"/>
      <c r="O38" s="7" t="s">
        <v>9</v>
      </c>
      <c r="Z38" s="20" t="s">
        <v>20</v>
      </c>
      <c r="AA38" s="20" t="s">
        <v>6</v>
      </c>
      <c r="AB38" s="20" t="s">
        <v>7</v>
      </c>
      <c r="AC38" s="20" t="s">
        <v>8</v>
      </c>
      <c r="AD38" s="8"/>
      <c r="AE38" s="8"/>
    </row>
    <row r="39" spans="3:31" x14ac:dyDescent="0.25">
      <c r="C39">
        <v>0</v>
      </c>
      <c r="D39">
        <v>-1.5</v>
      </c>
      <c r="E39">
        <f>D39^3-(D39^2*EXP(-0.5*D39))-3*D39+1</f>
        <v>-2.6382500373785192</v>
      </c>
      <c r="F39">
        <f>3*D39^2+((0.5*EXP(-0.5*D39))*D39^2)-((2*EXP(-0.5*D39))*D39)-3</f>
        <v>12.482625068527284</v>
      </c>
      <c r="O39" t="s">
        <v>17</v>
      </c>
      <c r="Z39">
        <v>0</v>
      </c>
      <c r="AA39">
        <v>1.5</v>
      </c>
      <c r="AB39">
        <f>AA39^3-(AA39^2*EXP(-0.5*AA39))-3*AA39+1</f>
        <v>-1.1878247436672833</v>
      </c>
      <c r="AC39">
        <f>3*AA39^2+((0.5*EXP(-0.5*AA39))*AA39^2)-((2*EXP(-0.5*AA39))*AA39)-3</f>
        <v>2.8643127136105981</v>
      </c>
    </row>
    <row r="40" spans="3:31" x14ac:dyDescent="0.25">
      <c r="C40">
        <v>1</v>
      </c>
      <c r="D40">
        <f>D39-(E39/F39)</f>
        <v>-1.2886462164092074</v>
      </c>
      <c r="E40">
        <f t="shared" ref="E40:E44" si="33">D40^3-(D40^2*EXP(-0.5*D40))-3*D40+1</f>
        <v>-0.43695659243000007</v>
      </c>
      <c r="F40">
        <f t="shared" ref="F40:F42" si="34">3*D40^2+((0.5*EXP(-0.5*D40))*D40^2)-((2*EXP(-0.5*D40))*D40)-3</f>
        <v>8.4722680224901268</v>
      </c>
      <c r="U40" s="9" t="s">
        <v>21</v>
      </c>
      <c r="Z40">
        <v>1</v>
      </c>
      <c r="AA40">
        <f>AA39-(AB39/AC39)</f>
        <v>1.9146979964942359</v>
      </c>
      <c r="AB40">
        <f t="shared" ref="AB40:AB44" si="35">AA40^3-(AA40^2*EXP(-0.5*AA40))-3*AA40+1</f>
        <v>0.86788216982205402</v>
      </c>
      <c r="AC40">
        <f t="shared" ref="AC40:AC43" si="36">3*AA40^2+((0.5*EXP(-0.5*AA40))*AA40^2)-((2*EXP(-0.5*AA40))*AA40)-3</f>
        <v>7.2317834335406435</v>
      </c>
      <c r="AE40" s="9" t="s">
        <v>21</v>
      </c>
    </row>
    <row r="41" spans="3:31" x14ac:dyDescent="0.25">
      <c r="C41">
        <v>2</v>
      </c>
      <c r="D41" s="4">
        <f>D40-(E40/F40)</f>
        <v>-1.2370712908674193</v>
      </c>
      <c r="E41">
        <f t="shared" si="33"/>
        <v>-2.2571648545151923E-2</v>
      </c>
      <c r="F41">
        <f t="shared" si="34"/>
        <v>7.6038787464019606</v>
      </c>
      <c r="U41" s="10">
        <v>5.0000000000000001E-4</v>
      </c>
      <c r="Z41">
        <v>2</v>
      </c>
      <c r="AA41">
        <f>AA40-(AB40/AC40)</f>
        <v>1.7946885717378389</v>
      </c>
      <c r="AB41">
        <f t="shared" si="35"/>
        <v>8.3453960798730797E-2</v>
      </c>
      <c r="AC41">
        <f t="shared" si="36"/>
        <v>5.8560113618647769</v>
      </c>
      <c r="AE41" s="10">
        <v>5.0000000000000001E-4</v>
      </c>
    </row>
    <row r="42" spans="3:31" x14ac:dyDescent="0.25">
      <c r="C42">
        <v>3</v>
      </c>
      <c r="D42" s="4">
        <f>D41-(E41/F41)</f>
        <v>-1.2341028520879567</v>
      </c>
      <c r="E42">
        <f t="shared" si="33"/>
        <v>-7.2353719620110724E-5</v>
      </c>
      <c r="F42">
        <f t="shared" si="34"/>
        <v>7.5551526296332803</v>
      </c>
      <c r="Z42">
        <v>3</v>
      </c>
      <c r="AA42">
        <f>AA41-(AB41/AC41)</f>
        <v>1.7804375814917826</v>
      </c>
      <c r="AB42">
        <f t="shared" si="35"/>
        <v>1.1228787822945563E-3</v>
      </c>
      <c r="AC42">
        <f t="shared" si="36"/>
        <v>5.6986383250784201</v>
      </c>
    </row>
    <row r="43" spans="3:31" x14ac:dyDescent="0.25">
      <c r="C43">
        <v>4</v>
      </c>
      <c r="D43" s="4">
        <f t="shared" ref="D43:D44" si="37">D42-(E42/F42)</f>
        <v>-1.2340932753496474</v>
      </c>
      <c r="E43">
        <f t="shared" si="33"/>
        <v>-7.5168227198219029E-10</v>
      </c>
      <c r="F43">
        <f t="shared" ref="F43:F44" si="38">3*D43^2+((0.5*EXP(-0.5*D43))*D43^2)-((2*EXP(-0.5*D43))*D43)-3</f>
        <v>7.5549956489930103</v>
      </c>
      <c r="S43" t="s">
        <v>18</v>
      </c>
      <c r="Z43">
        <v>4</v>
      </c>
      <c r="AA43" s="4">
        <f>AA42-(AB42/AC42)</f>
        <v>1.7802405381424349</v>
      </c>
      <c r="AB43">
        <f t="shared" si="35"/>
        <v>2.1349850332086362E-7</v>
      </c>
      <c r="AC43">
        <f t="shared" si="36"/>
        <v>5.6964713451848432</v>
      </c>
    </row>
    <row r="44" spans="3:31" x14ac:dyDescent="0.25">
      <c r="C44">
        <v>5</v>
      </c>
      <c r="D44" s="4">
        <f t="shared" si="37"/>
        <v>-1.2340932752501528</v>
      </c>
      <c r="E44">
        <f t="shared" si="33"/>
        <v>0</v>
      </c>
      <c r="F44">
        <f t="shared" si="38"/>
        <v>7.5549956473621158</v>
      </c>
      <c r="O44" s="20" t="s">
        <v>20</v>
      </c>
      <c r="P44" s="20" t="s">
        <v>6</v>
      </c>
      <c r="Q44" s="20" t="s">
        <v>7</v>
      </c>
      <c r="R44" s="20" t="s">
        <v>8</v>
      </c>
      <c r="S44" s="8"/>
      <c r="T44" s="8"/>
      <c r="Z44">
        <v>5</v>
      </c>
      <c r="AA44" s="4">
        <f>AA43-(AB43/AC43)</f>
        <v>1.7802405006633553</v>
      </c>
      <c r="AB44">
        <f t="shared" si="35"/>
        <v>7.9936057773011271E-15</v>
      </c>
      <c r="AC44">
        <f t="shared" ref="AC44" si="39">3*AA44^2+((0.5*EXP(-0.5*AA44))*AA44^2)-((2*EXP(-0.5*AA44))*AA44)-3</f>
        <v>5.6964709330327512</v>
      </c>
    </row>
    <row r="45" spans="3:31" x14ac:dyDescent="0.25">
      <c r="O45">
        <v>0</v>
      </c>
      <c r="P45">
        <v>0</v>
      </c>
      <c r="Q45">
        <f>P45^3-(P45^2*EXP(-0.5*P45))-3*P45+1</f>
        <v>1</v>
      </c>
      <c r="R45">
        <f>3*P45^2+((0.5*EXP(-0.5*P45))*P45^2)-((2*EXP(-0.5*P45))*P45)-3</f>
        <v>-3</v>
      </c>
    </row>
    <row r="46" spans="3:31" x14ac:dyDescent="0.25">
      <c r="O46">
        <v>1</v>
      </c>
      <c r="P46">
        <f>P45-(Q45/R45)</f>
        <v>0.33333333333333331</v>
      </c>
      <c r="Q46">
        <f t="shared" ref="Q46:Q48" si="40">P46^3-(P46^2*EXP(-0.5*P46))-3*P46+1</f>
        <v>-5.7016487950809047E-2</v>
      </c>
      <c r="R46">
        <f t="shared" ref="R46:R48" si="41">3*P46^2+((0.5*EXP(-0.5*P46))*P46^2)-((2*EXP(-0.5*P46))*P46)-3</f>
        <v>-3.1839610540998198</v>
      </c>
    </row>
    <row r="47" spans="3:31" x14ac:dyDescent="0.25">
      <c r="C47" s="7" t="s">
        <v>19</v>
      </c>
      <c r="O47">
        <v>2</v>
      </c>
      <c r="P47" s="4">
        <f>P46-(Q46/R46)</f>
        <v>0.31542592586759438</v>
      </c>
      <c r="Q47">
        <f t="shared" si="40"/>
        <v>1.2815252945630462E-4</v>
      </c>
      <c r="R47">
        <f t="shared" si="41"/>
        <v>-3.1978383554861312</v>
      </c>
    </row>
    <row r="48" spans="3:31" x14ac:dyDescent="0.25">
      <c r="C48" t="s">
        <v>16</v>
      </c>
      <c r="O48">
        <v>3</v>
      </c>
      <c r="P48" s="4">
        <f>P47-(Q47/R47)</f>
        <v>0.31546600060409147</v>
      </c>
      <c r="Q48">
        <f t="shared" si="40"/>
        <v>5.637309508088606E-10</v>
      </c>
      <c r="R48">
        <f t="shared" si="41"/>
        <v>-3.1978102193120295</v>
      </c>
      <c r="Z48" s="7" t="s">
        <v>19</v>
      </c>
    </row>
    <row r="49" spans="3:31" x14ac:dyDescent="0.25">
      <c r="Z49" t="s">
        <v>26</v>
      </c>
      <c r="AA49" t="s">
        <v>25</v>
      </c>
    </row>
    <row r="50" spans="3:31" x14ac:dyDescent="0.25">
      <c r="D50" s="5" t="s">
        <v>25</v>
      </c>
      <c r="Z50" s="7"/>
    </row>
    <row r="51" spans="3:31" x14ac:dyDescent="0.25">
      <c r="Z51" s="21" t="s">
        <v>20</v>
      </c>
      <c r="AA51" s="21" t="s">
        <v>6</v>
      </c>
      <c r="AB51" s="21" t="s">
        <v>7</v>
      </c>
      <c r="AC51" s="21" t="s">
        <v>21</v>
      </c>
    </row>
    <row r="52" spans="3:31" x14ac:dyDescent="0.25">
      <c r="C52" s="21" t="s">
        <v>20</v>
      </c>
      <c r="D52" s="21" t="s">
        <v>6</v>
      </c>
      <c r="E52" s="21" t="s">
        <v>7</v>
      </c>
      <c r="F52" s="21" t="s">
        <v>21</v>
      </c>
      <c r="O52" s="7" t="s">
        <v>19</v>
      </c>
      <c r="Z52">
        <v>0</v>
      </c>
      <c r="AA52">
        <v>1.5</v>
      </c>
      <c r="AB52">
        <f>AA52^3-(AA52^2*EXP(-0.5*AA52))-3*AA52+1</f>
        <v>-1.1878247436672833</v>
      </c>
      <c r="AC52" s="10">
        <v>5.0000000000000001E-4</v>
      </c>
    </row>
    <row r="53" spans="3:31" x14ac:dyDescent="0.25">
      <c r="C53">
        <v>0</v>
      </c>
      <c r="D53">
        <v>-1.5</v>
      </c>
      <c r="E53">
        <f>D53^3-(D53^2*EXP(-0.5*D53))-3*D53+1</f>
        <v>-2.6382500373785192</v>
      </c>
      <c r="F53" s="10">
        <v>5.0000000000000001E-4</v>
      </c>
      <c r="O53" t="s">
        <v>17</v>
      </c>
      <c r="Z53">
        <v>1</v>
      </c>
      <c r="AA53">
        <v>2</v>
      </c>
      <c r="AB53">
        <f t="shared" ref="AB53:AB60" si="42">AA53^3-(AA53^2*EXP(-0.5*AA53))-3*AA53+1</f>
        <v>1.5284822353142307</v>
      </c>
    </row>
    <row r="54" spans="3:31" x14ac:dyDescent="0.25">
      <c r="C54">
        <v>1</v>
      </c>
      <c r="D54">
        <v>-1</v>
      </c>
      <c r="E54">
        <f t="shared" ref="E54:E58" si="43">D54^3-(D54^2*EXP(-0.5*D54))-3*D54+1</f>
        <v>1.3512787292998718</v>
      </c>
      <c r="Z54">
        <v>2</v>
      </c>
      <c r="AA54" s="11">
        <f t="shared" ref="AA54:AA60" si="44">+AA53-AB53*((AA53-AA52)/(AB53-AB52))</f>
        <v>1.7186469999264702</v>
      </c>
      <c r="AB54">
        <f t="shared" si="42"/>
        <v>-0.33025150259725455</v>
      </c>
    </row>
    <row r="55" spans="3:31" x14ac:dyDescent="0.25">
      <c r="C55">
        <v>2</v>
      </c>
      <c r="D55" s="11">
        <f>+D54-E54*((D54-D53)/(E54-E53))</f>
        <v>-1.1693531753156052</v>
      </c>
      <c r="E55">
        <f t="shared" si="43"/>
        <v>0.45544797559724204</v>
      </c>
      <c r="H55" t="s">
        <v>28</v>
      </c>
      <c r="P55" s="5" t="s">
        <v>25</v>
      </c>
      <c r="Z55">
        <v>3</v>
      </c>
      <c r="AA55" s="13">
        <f t="shared" si="44"/>
        <v>1.7686365434201674</v>
      </c>
      <c r="AB55">
        <f t="shared" si="42"/>
        <v>-6.5362872245422032E-2</v>
      </c>
      <c r="AE55" t="s">
        <v>28</v>
      </c>
    </row>
    <row r="56" spans="3:31" x14ac:dyDescent="0.25">
      <c r="C56">
        <v>3</v>
      </c>
      <c r="D56" s="2">
        <f>+D55-E55*((D55-D54)/(E55-E54))</f>
        <v>-1.2554537702546142</v>
      </c>
      <c r="E56">
        <f t="shared" si="43"/>
        <v>-0.16514298950341288</v>
      </c>
      <c r="Z56">
        <v>4</v>
      </c>
      <c r="AA56" s="2">
        <f t="shared" si="44"/>
        <v>1.7809717657384887</v>
      </c>
      <c r="AB56">
        <f t="shared" si="42"/>
        <v>4.1685709323697751E-3</v>
      </c>
    </row>
    <row r="57" spans="3:31" x14ac:dyDescent="0.25">
      <c r="C57">
        <v>4</v>
      </c>
      <c r="D57" s="2">
        <f>+D56-E56*((D56-D55)/(E56-E55))</f>
        <v>-1.2325418839303521</v>
      </c>
      <c r="E57">
        <f t="shared" si="43"/>
        <v>1.1701038205524483E-2</v>
      </c>
      <c r="O57" s="21" t="s">
        <v>20</v>
      </c>
      <c r="P57" s="21" t="s">
        <v>6</v>
      </c>
      <c r="Q57" s="21" t="s">
        <v>7</v>
      </c>
      <c r="R57" s="21" t="s">
        <v>21</v>
      </c>
      <c r="Y57" t="s">
        <v>13</v>
      </c>
      <c r="Z57">
        <v>5</v>
      </c>
      <c r="AA57" s="14">
        <f t="shared" si="44"/>
        <v>1.7802322406135895</v>
      </c>
      <c r="AB57">
        <f t="shared" si="42"/>
        <v>-4.7052758239907178E-5</v>
      </c>
    </row>
    <row r="58" spans="3:31" x14ac:dyDescent="0.25">
      <c r="C58">
        <v>5</v>
      </c>
      <c r="D58" s="4">
        <f>+D57-E57*((D57-D56)/(E57-E56))</f>
        <v>-1.2340578687261863</v>
      </c>
      <c r="E58">
        <f t="shared" si="43"/>
        <v>2.6748586001179575E-4</v>
      </c>
      <c r="O58">
        <v>0</v>
      </c>
      <c r="P58">
        <v>0</v>
      </c>
      <c r="Q58">
        <f>P58^3-(P58^2*EXP(-0.5*P58))-3*P58+1</f>
        <v>1</v>
      </c>
      <c r="R58" s="10">
        <v>5.0000000000000001E-4</v>
      </c>
      <c r="Z58">
        <v>6</v>
      </c>
      <c r="AA58" s="14">
        <f t="shared" si="44"/>
        <v>1.7802404948363257</v>
      </c>
      <c r="AB58">
        <f t="shared" si="42"/>
        <v>-3.3193495951877594E-8</v>
      </c>
    </row>
    <row r="59" spans="3:31" x14ac:dyDescent="0.25">
      <c r="O59">
        <v>1</v>
      </c>
      <c r="P59">
        <v>0.5</v>
      </c>
      <c r="Q59">
        <f t="shared" ref="Q59:Q64" si="45">P59^3-(P59^2*EXP(-0.5*P59))-3*P59+1</f>
        <v>-0.56970019576785114</v>
      </c>
      <c r="Z59">
        <v>7</v>
      </c>
      <c r="AA59" s="2">
        <f t="shared" si="44"/>
        <v>1.7802405006634003</v>
      </c>
      <c r="AB59">
        <f t="shared" si="42"/>
        <v>2.6467716907063732E-13</v>
      </c>
    </row>
    <row r="60" spans="3:31" x14ac:dyDescent="0.25">
      <c r="O60">
        <v>2</v>
      </c>
      <c r="P60" s="11">
        <f>+P59-Q59*((P59-P58)/(Q59-Q58))</f>
        <v>0.31853216387949468</v>
      </c>
      <c r="Q60">
        <f t="shared" si="45"/>
        <v>-9.8016673746958993E-3</v>
      </c>
      <c r="Z60">
        <v>8</v>
      </c>
      <c r="AA60" s="2">
        <f t="shared" si="44"/>
        <v>1.7802405006633539</v>
      </c>
      <c r="AB60">
        <f t="shared" si="42"/>
        <v>0</v>
      </c>
    </row>
    <row r="61" spans="3:31" x14ac:dyDescent="0.25">
      <c r="O61">
        <v>3</v>
      </c>
      <c r="P61" s="4">
        <f>+P60-Q60*((P60-P59)/(Q60-Q59))</f>
        <v>0.31535536080061599</v>
      </c>
      <c r="Q61">
        <f t="shared" si="45"/>
        <v>3.5380995432121587E-4</v>
      </c>
      <c r="R61" t="s">
        <v>13</v>
      </c>
      <c r="T61" t="s">
        <v>28</v>
      </c>
    </row>
    <row r="62" spans="3:31" x14ac:dyDescent="0.25">
      <c r="O62">
        <v>4</v>
      </c>
      <c r="P62" s="2">
        <f>+P61-Q61*((P61-P60)/(Q61-Q60))</f>
        <v>0.31546603846901217</v>
      </c>
      <c r="Q62">
        <f t="shared" si="45"/>
        <v>-1.2052109887861207E-7</v>
      </c>
    </row>
    <row r="63" spans="3:31" x14ac:dyDescent="0.25">
      <c r="O63">
        <v>5</v>
      </c>
      <c r="P63" s="14">
        <f>+P62-Q62*((P62-P61)/(Q62-Q61))</f>
        <v>0.3154660007808357</v>
      </c>
      <c r="Q63">
        <f t="shared" si="45"/>
        <v>-1.4634959910608814E-12</v>
      </c>
    </row>
    <row r="64" spans="3:31" x14ac:dyDescent="0.25">
      <c r="O64">
        <v>6</v>
      </c>
      <c r="P64" s="14">
        <f>+P63-Q63*((P63-P62)/(Q63-Q62))</f>
        <v>0.31546600078037806</v>
      </c>
      <c r="Q64">
        <f t="shared" si="45"/>
        <v>0</v>
      </c>
    </row>
  </sheetData>
  <phoneticPr fontId="7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C57"/>
  <sheetViews>
    <sheetView tabSelected="1" zoomScale="104" workbookViewId="0">
      <selection activeCell="F7" sqref="F7"/>
    </sheetView>
  </sheetViews>
  <sheetFormatPr baseColWidth="10" defaultColWidth="9.140625" defaultRowHeight="15" x14ac:dyDescent="0.25"/>
  <sheetData>
    <row r="1" spans="2:29" x14ac:dyDescent="0.25">
      <c r="L1" t="s">
        <v>38</v>
      </c>
    </row>
    <row r="2" spans="2:29" x14ac:dyDescent="0.25">
      <c r="L2" s="7" t="s">
        <v>33</v>
      </c>
    </row>
    <row r="3" spans="2:29" x14ac:dyDescent="0.25">
      <c r="L3" s="7" t="s">
        <v>37</v>
      </c>
    </row>
    <row r="4" spans="2:29" x14ac:dyDescent="0.25">
      <c r="L4" s="7"/>
    </row>
    <row r="6" spans="2:29" x14ac:dyDescent="0.25">
      <c r="C6" s="2" t="s">
        <v>6</v>
      </c>
      <c r="D6" s="2" t="s">
        <v>7</v>
      </c>
      <c r="J6" s="9" t="s">
        <v>21</v>
      </c>
    </row>
    <row r="7" spans="2:29" x14ac:dyDescent="0.25">
      <c r="B7" t="s">
        <v>0</v>
      </c>
      <c r="C7" s="3">
        <v>3.6</v>
      </c>
      <c r="D7" s="3">
        <f>(COS(C7))^2 - 0.5*C7*EXP(0.3*C7) + 5</f>
        <v>0.50375246534818441</v>
      </c>
      <c r="F7" s="12" t="s">
        <v>27</v>
      </c>
      <c r="J7" s="10">
        <v>5.0000000000000001E-4</v>
      </c>
    </row>
    <row r="8" spans="2:29" x14ac:dyDescent="0.25">
      <c r="B8" t="s">
        <v>1</v>
      </c>
      <c r="C8" s="3">
        <v>3.9</v>
      </c>
      <c r="D8" s="3">
        <f>(COS(C8))^2 - 0.5*C8*EXP(0.3*C8) + 5</f>
        <v>-0.75590793484924923</v>
      </c>
      <c r="F8" s="12"/>
    </row>
    <row r="9" spans="2:29" x14ac:dyDescent="0.25">
      <c r="I9" t="s">
        <v>12</v>
      </c>
    </row>
    <row r="10" spans="2:29" x14ac:dyDescent="0.25">
      <c r="B10" s="7" t="s">
        <v>24</v>
      </c>
    </row>
    <row r="11" spans="2:29" x14ac:dyDescent="0.25">
      <c r="B11" s="29" t="s">
        <v>20</v>
      </c>
      <c r="C11" s="27" t="s">
        <v>0</v>
      </c>
      <c r="D11" s="27" t="s">
        <v>1</v>
      </c>
      <c r="E11" s="27" t="s">
        <v>2</v>
      </c>
      <c r="F11" s="27" t="s">
        <v>3</v>
      </c>
      <c r="G11" s="27" t="s">
        <v>4</v>
      </c>
      <c r="H11" s="27" t="s">
        <v>5</v>
      </c>
      <c r="I11" s="8"/>
      <c r="K11" s="6"/>
    </row>
    <row r="12" spans="2:29" x14ac:dyDescent="0.25">
      <c r="B12">
        <v>0</v>
      </c>
      <c r="C12">
        <v>3.6</v>
      </c>
      <c r="D12">
        <v>3.9</v>
      </c>
      <c r="E12">
        <f>(C12+D12)/2</f>
        <v>3.75</v>
      </c>
      <c r="F12">
        <f>(COS(C12))^2 - 0.5*C12*EXP(0.3*C12) + 5</f>
        <v>0.50375246534818441</v>
      </c>
      <c r="G12">
        <f t="shared" ref="G12:H12" si="0">(COS(D12))^2 - 0.5*D12*EXP(0.3*D12) + 5</f>
        <v>-0.75590793484924923</v>
      </c>
      <c r="H12">
        <f t="shared" si="0"/>
        <v>-0.10208893280379527</v>
      </c>
      <c r="K12" s="5"/>
    </row>
    <row r="13" spans="2:29" x14ac:dyDescent="0.25">
      <c r="B13">
        <v>1</v>
      </c>
      <c r="C13">
        <f>C12</f>
        <v>3.6</v>
      </c>
      <c r="D13">
        <f>E12</f>
        <v>3.75</v>
      </c>
      <c r="E13">
        <f t="shared" ref="E13:E20" si="1">(C13+D13)/2</f>
        <v>3.6749999999999998</v>
      </c>
      <c r="F13">
        <f t="shared" ref="F13:F20" si="2">(COS(C13))^2 - 0.5*C13*EXP(0.3*C13) + 5</f>
        <v>0.50375246534818441</v>
      </c>
      <c r="G13">
        <f t="shared" ref="G13:G20" si="3">(COS(D13))^2 - 0.5*D13*EXP(0.3*D13) + 5</f>
        <v>-0.10208893280379527</v>
      </c>
      <c r="H13">
        <f t="shared" ref="H13:H20" si="4">(COS(E13))^2 - 0.5*E13*EXP(0.3*E13) + 5</f>
        <v>0.20748524928491108</v>
      </c>
      <c r="J13" s="6"/>
      <c r="L13" s="6"/>
      <c r="V13" s="8"/>
      <c r="W13" s="8"/>
      <c r="X13" s="8"/>
      <c r="Y13" s="8"/>
      <c r="Z13" s="8"/>
      <c r="AA13" s="8"/>
      <c r="AB13" s="8"/>
      <c r="AC13" s="8"/>
    </row>
    <row r="14" spans="2:29" x14ac:dyDescent="0.25">
      <c r="B14">
        <v>2</v>
      </c>
      <c r="C14">
        <f>E13</f>
        <v>3.6749999999999998</v>
      </c>
      <c r="D14">
        <f>D13</f>
        <v>3.75</v>
      </c>
      <c r="E14">
        <f t="shared" si="1"/>
        <v>3.7124999999999999</v>
      </c>
      <c r="F14">
        <f t="shared" si="2"/>
        <v>0.20748524928491108</v>
      </c>
      <c r="G14">
        <f t="shared" si="3"/>
        <v>-0.10208893280379527</v>
      </c>
      <c r="H14">
        <f t="shared" si="4"/>
        <v>5.4283061225259388E-2</v>
      </c>
      <c r="J14" s="5"/>
      <c r="L14" s="5"/>
    </row>
    <row r="15" spans="2:29" x14ac:dyDescent="0.25">
      <c r="B15">
        <v>3</v>
      </c>
      <c r="C15">
        <f>E14</f>
        <v>3.7124999999999999</v>
      </c>
      <c r="D15">
        <f>D14</f>
        <v>3.75</v>
      </c>
      <c r="E15">
        <f t="shared" si="1"/>
        <v>3.7312500000000002</v>
      </c>
      <c r="F15">
        <f t="shared" si="2"/>
        <v>5.4283061225259388E-2</v>
      </c>
      <c r="G15">
        <f t="shared" si="3"/>
        <v>-0.10208893280379527</v>
      </c>
      <c r="H15">
        <f t="shared" si="4"/>
        <v>-2.3516884664720905E-2</v>
      </c>
      <c r="J15" s="5"/>
      <c r="L15" s="5"/>
    </row>
    <row r="16" spans="2:29" x14ac:dyDescent="0.25">
      <c r="B16">
        <v>4</v>
      </c>
      <c r="C16">
        <f>C15</f>
        <v>3.7124999999999999</v>
      </c>
      <c r="D16">
        <f>E15</f>
        <v>3.7312500000000002</v>
      </c>
      <c r="E16">
        <f t="shared" si="1"/>
        <v>3.7218749999999998</v>
      </c>
      <c r="F16">
        <f t="shared" si="2"/>
        <v>5.4283061225259388E-2</v>
      </c>
      <c r="G16">
        <f t="shared" si="3"/>
        <v>-2.3516884664720905E-2</v>
      </c>
      <c r="H16">
        <f t="shared" si="4"/>
        <v>1.5480887537868249E-2</v>
      </c>
      <c r="J16" s="5"/>
      <c r="K16" s="5"/>
      <c r="L16" s="5"/>
    </row>
    <row r="17" spans="2:12" x14ac:dyDescent="0.25">
      <c r="B17">
        <v>5</v>
      </c>
      <c r="C17">
        <f>E16</f>
        <v>3.7218749999999998</v>
      </c>
      <c r="D17">
        <f>D16</f>
        <v>3.7312500000000002</v>
      </c>
      <c r="E17">
        <f t="shared" si="1"/>
        <v>3.7265625</v>
      </c>
      <c r="F17">
        <f t="shared" si="2"/>
        <v>1.5480887537868249E-2</v>
      </c>
      <c r="G17">
        <f t="shared" si="3"/>
        <v>-2.3516884664720905E-2</v>
      </c>
      <c r="H17">
        <f t="shared" si="4"/>
        <v>-3.9937086888297557E-3</v>
      </c>
      <c r="J17" s="5"/>
      <c r="K17" s="5"/>
      <c r="L17" s="5"/>
    </row>
    <row r="18" spans="2:12" x14ac:dyDescent="0.25">
      <c r="B18">
        <v>6</v>
      </c>
      <c r="C18">
        <f>C17</f>
        <v>3.7218749999999998</v>
      </c>
      <c r="D18">
        <f>E17</f>
        <v>3.7265625</v>
      </c>
      <c r="E18">
        <f t="shared" si="1"/>
        <v>3.7242187499999999</v>
      </c>
      <c r="F18">
        <f t="shared" si="2"/>
        <v>1.5480887537868249E-2</v>
      </c>
      <c r="G18">
        <f t="shared" si="3"/>
        <v>-3.9937086888297557E-3</v>
      </c>
      <c r="H18">
        <f t="shared" si="4"/>
        <v>5.7496819414444289E-3</v>
      </c>
      <c r="J18" s="5"/>
      <c r="K18" s="5"/>
      <c r="L18" s="5"/>
    </row>
    <row r="19" spans="2:12" x14ac:dyDescent="0.25">
      <c r="B19">
        <v>7</v>
      </c>
      <c r="C19">
        <f>E18</f>
        <v>3.7242187499999999</v>
      </c>
      <c r="D19">
        <f>D18</f>
        <v>3.7265625</v>
      </c>
      <c r="E19">
        <f t="shared" si="1"/>
        <v>3.7253906250000002</v>
      </c>
      <c r="F19">
        <f t="shared" si="2"/>
        <v>5.7496819414444289E-3</v>
      </c>
      <c r="G19">
        <f t="shared" si="3"/>
        <v>-3.9937086888297557E-3</v>
      </c>
      <c r="H19">
        <f t="shared" si="4"/>
        <v>8.7950725294572152E-4</v>
      </c>
      <c r="J19" s="5"/>
      <c r="K19" s="5"/>
      <c r="L19" s="5"/>
    </row>
    <row r="20" spans="2:12" x14ac:dyDescent="0.25">
      <c r="B20">
        <v>8</v>
      </c>
      <c r="C20">
        <f>E19</f>
        <v>3.7253906250000002</v>
      </c>
      <c r="D20">
        <f>D19</f>
        <v>3.7265625</v>
      </c>
      <c r="E20">
        <f t="shared" si="1"/>
        <v>3.7259765625000001</v>
      </c>
      <c r="F20">
        <f t="shared" si="2"/>
        <v>8.7950725294572152E-4</v>
      </c>
      <c r="G20">
        <f t="shared" si="3"/>
        <v>-3.9937086888297557E-3</v>
      </c>
      <c r="H20">
        <f t="shared" si="4"/>
        <v>-1.5567208744080574E-3</v>
      </c>
      <c r="J20" s="5"/>
      <c r="K20" s="5"/>
      <c r="L20" s="5"/>
    </row>
    <row r="21" spans="2:12" x14ac:dyDescent="0.25">
      <c r="B21">
        <v>9</v>
      </c>
      <c r="C21">
        <f>C20</f>
        <v>3.7253906250000002</v>
      </c>
      <c r="D21">
        <f>E20</f>
        <v>3.7259765625000001</v>
      </c>
      <c r="E21">
        <f t="shared" ref="E21:E23" si="5">(C21+D21)/2</f>
        <v>3.7256835937500004</v>
      </c>
      <c r="F21">
        <f t="shared" ref="F21:F23" si="6">(COS(C21))^2 - 0.5*C21*EXP(0.3*C21) + 5</f>
        <v>8.7950725294572152E-4</v>
      </c>
      <c r="G21">
        <f t="shared" ref="G21:G23" si="7">(COS(D21))^2 - 0.5*D21*EXP(0.3*D21) + 5</f>
        <v>-1.5567208744080574E-3</v>
      </c>
      <c r="H21">
        <f t="shared" ref="H21:H23" si="8">(COS(E21))^2 - 0.5*E21*EXP(0.3*E21) + 5</f>
        <v>-3.3851181069355363E-4</v>
      </c>
      <c r="J21" s="5"/>
      <c r="K21" s="5"/>
      <c r="L21" s="5"/>
    </row>
    <row r="22" spans="2:12" x14ac:dyDescent="0.25">
      <c r="B22">
        <v>10</v>
      </c>
      <c r="C22">
        <f>C21</f>
        <v>3.7253906250000002</v>
      </c>
      <c r="D22">
        <f>E21</f>
        <v>3.7256835937500004</v>
      </c>
      <c r="E22" s="4">
        <f t="shared" si="5"/>
        <v>3.7255371093750003</v>
      </c>
      <c r="F22">
        <f t="shared" si="6"/>
        <v>8.7950725294572152E-4</v>
      </c>
      <c r="G22">
        <f t="shared" si="7"/>
        <v>-3.3851181069355363E-4</v>
      </c>
      <c r="H22">
        <f t="shared" si="8"/>
        <v>2.7052147602724119E-4</v>
      </c>
      <c r="J22" s="5"/>
      <c r="K22" s="5"/>
      <c r="L22" s="5"/>
    </row>
    <row r="23" spans="2:12" x14ac:dyDescent="0.25">
      <c r="B23">
        <v>11</v>
      </c>
      <c r="C23">
        <f>E22</f>
        <v>3.7255371093750003</v>
      </c>
      <c r="D23">
        <f>D22</f>
        <v>3.7256835937500004</v>
      </c>
      <c r="E23" s="4">
        <f t="shared" si="5"/>
        <v>3.7256103515625005</v>
      </c>
      <c r="F23">
        <f t="shared" si="6"/>
        <v>2.7052147602724119E-4</v>
      </c>
      <c r="G23">
        <f t="shared" si="7"/>
        <v>-3.3851181069355363E-4</v>
      </c>
      <c r="H23">
        <f t="shared" si="8"/>
        <v>-3.3989229220487971E-5</v>
      </c>
      <c r="J23" s="5"/>
      <c r="K23" s="5"/>
      <c r="L23" s="5"/>
    </row>
    <row r="24" spans="2:12" x14ac:dyDescent="0.25">
      <c r="E24" t="s">
        <v>13</v>
      </c>
      <c r="J24" s="5"/>
      <c r="K24" s="5"/>
      <c r="L24" s="5"/>
    </row>
    <row r="25" spans="2:12" x14ac:dyDescent="0.25">
      <c r="J25" s="5"/>
      <c r="K25" s="5"/>
      <c r="L25" s="5"/>
    </row>
    <row r="26" spans="2:12" x14ac:dyDescent="0.25">
      <c r="J26" s="5"/>
      <c r="K26" s="5"/>
      <c r="L26" s="5"/>
    </row>
    <row r="29" spans="2:12" x14ac:dyDescent="0.25">
      <c r="D29" s="12" t="s">
        <v>27</v>
      </c>
    </row>
    <row r="30" spans="2:12" x14ac:dyDescent="0.25">
      <c r="C30" s="7" t="s">
        <v>9</v>
      </c>
    </row>
    <row r="31" spans="2:12" x14ac:dyDescent="0.25">
      <c r="C31" t="s">
        <v>16</v>
      </c>
    </row>
    <row r="35" spans="3:27" x14ac:dyDescent="0.25">
      <c r="C35" s="7"/>
      <c r="H35" t="s">
        <v>18</v>
      </c>
    </row>
    <row r="36" spans="3:27" x14ac:dyDescent="0.25">
      <c r="C36" s="27" t="s">
        <v>20</v>
      </c>
      <c r="D36" s="27" t="s">
        <v>6</v>
      </c>
      <c r="E36" s="27" t="s">
        <v>7</v>
      </c>
      <c r="F36" s="28" t="s">
        <v>8</v>
      </c>
      <c r="G36" s="24" t="s">
        <v>21</v>
      </c>
      <c r="H36" s="8"/>
    </row>
    <row r="37" spans="3:27" x14ac:dyDescent="0.25">
      <c r="C37">
        <v>0</v>
      </c>
      <c r="D37">
        <v>3.6</v>
      </c>
      <c r="E37">
        <f>(COS(D37))^2 - 0.5*D37*EXP(0.3*D37) + 5</f>
        <v>0.50375246534818441</v>
      </c>
      <c r="F37">
        <f>-SIN(2*D37)-0.5*(0.3*EXP(0.3*D37)*D37+EXP(0.3*D37))</f>
        <v>-3.8561345969572982</v>
      </c>
      <c r="G37" s="10">
        <v>5.0000000000000001E-4</v>
      </c>
    </row>
    <row r="38" spans="3:27" x14ac:dyDescent="0.25">
      <c r="C38">
        <v>1</v>
      </c>
      <c r="D38">
        <f>D37-(E37/F37)</f>
        <v>3.7306366395368236</v>
      </c>
      <c r="E38">
        <f t="shared" ref="E38:E41" si="9">(COS(D38))^2 - 0.5*D38*EXP(0.3*D38) + 5</f>
        <v>-2.0959521488054911E-2</v>
      </c>
      <c r="F38">
        <f t="shared" ref="F38:F41" si="10">-SIN(2*D38)-0.5*(0.3*EXP(0.3*D38)*D38+EXP(0.3*D38))</f>
        <v>-4.1687554971637173</v>
      </c>
    </row>
    <row r="39" spans="3:27" x14ac:dyDescent="0.25">
      <c r="C39">
        <v>2</v>
      </c>
      <c r="D39">
        <f>D38-(E38/F38)</f>
        <v>3.7256088748952378</v>
      </c>
      <c r="E39">
        <f t="shared" si="9"/>
        <v>-2.7849740532381873E-5</v>
      </c>
      <c r="F39">
        <f t="shared" si="10"/>
        <v>-4.1576639709611616</v>
      </c>
    </row>
    <row r="40" spans="3:27" x14ac:dyDescent="0.25">
      <c r="C40">
        <v>3</v>
      </c>
      <c r="D40">
        <f>D39-(E39/F39)</f>
        <v>3.7256021764846095</v>
      </c>
      <c r="E40">
        <f t="shared" si="9"/>
        <v>-4.9666937229631003E-11</v>
      </c>
      <c r="F40">
        <f t="shared" si="10"/>
        <v>-4.1576491413203902</v>
      </c>
      <c r="V40" s="8"/>
      <c r="W40" s="8"/>
      <c r="X40" s="8"/>
      <c r="Y40" s="8"/>
      <c r="Z40" s="8"/>
      <c r="AA40" s="8"/>
    </row>
    <row r="41" spans="3:27" x14ac:dyDescent="0.25">
      <c r="C41">
        <v>4</v>
      </c>
      <c r="D41" s="4">
        <f>D40-(E40/F40)</f>
        <v>3.7256021764726635</v>
      </c>
      <c r="E41">
        <f t="shared" si="9"/>
        <v>0</v>
      </c>
      <c r="F41">
        <f t="shared" si="10"/>
        <v>-4.1576491412939429</v>
      </c>
    </row>
    <row r="44" spans="3:27" x14ac:dyDescent="0.25">
      <c r="C44" s="7" t="s">
        <v>19</v>
      </c>
    </row>
    <row r="45" spans="3:27" x14ac:dyDescent="0.25">
      <c r="C45" t="s">
        <v>16</v>
      </c>
    </row>
    <row r="47" spans="3:27" x14ac:dyDescent="0.25">
      <c r="D47" s="12" t="s">
        <v>27</v>
      </c>
    </row>
    <row r="48" spans="3:27" x14ac:dyDescent="0.25">
      <c r="C48" s="7"/>
    </row>
    <row r="49" spans="3:8" x14ac:dyDescent="0.25">
      <c r="C49" s="24" t="s">
        <v>20</v>
      </c>
      <c r="D49" s="25" t="s">
        <v>6</v>
      </c>
      <c r="E49" s="24" t="s">
        <v>7</v>
      </c>
      <c r="F49" s="26" t="s">
        <v>21</v>
      </c>
    </row>
    <row r="50" spans="3:8" x14ac:dyDescent="0.25">
      <c r="C50">
        <v>0</v>
      </c>
      <c r="D50">
        <v>3.6</v>
      </c>
      <c r="E50">
        <f>(COS(D50))^2 - 0.5*D50*EXP(0.3*D50) + 5</f>
        <v>0.50375246534818441</v>
      </c>
      <c r="F50" s="10">
        <v>5.0000000000000001E-4</v>
      </c>
    </row>
    <row r="51" spans="3:8" x14ac:dyDescent="0.25">
      <c r="C51">
        <v>1</v>
      </c>
      <c r="D51">
        <v>3.9</v>
      </c>
      <c r="E51">
        <f t="shared" ref="E51:E56" si="11">(COS(D51))^2 - 0.5*D51*EXP(0.3*D51) + 5</f>
        <v>-0.75590793484924923</v>
      </c>
    </row>
    <row r="52" spans="3:8" x14ac:dyDescent="0.25">
      <c r="C52">
        <v>2</v>
      </c>
      <c r="D52" s="11">
        <f>+D51-E51*((D51-D50)/(E51-E50))</f>
        <v>3.7199733988468386</v>
      </c>
      <c r="E52">
        <f t="shared" si="11"/>
        <v>2.3367318164809525E-2</v>
      </c>
    </row>
    <row r="53" spans="3:8" x14ac:dyDescent="0.25">
      <c r="C53">
        <v>3</v>
      </c>
      <c r="D53" s="13">
        <f>+D52-E52*((D52-D51)/(E52-E51))</f>
        <v>3.7253716696773371</v>
      </c>
      <c r="E53">
        <f t="shared" si="11"/>
        <v>9.5830755690506919E-4</v>
      </c>
      <c r="H53" t="s">
        <v>28</v>
      </c>
    </row>
    <row r="54" spans="3:8" x14ac:dyDescent="0.25">
      <c r="C54">
        <v>4</v>
      </c>
      <c r="D54" s="2">
        <f>+D53-E53*((D53-D52)/(E53-E52))</f>
        <v>3.7256025234094183</v>
      </c>
      <c r="E54">
        <f t="shared" si="11"/>
        <v>-1.4424414338520819E-6</v>
      </c>
    </row>
    <row r="55" spans="3:8" x14ac:dyDescent="0.25">
      <c r="C55">
        <v>5</v>
      </c>
      <c r="D55" s="4">
        <f>+D54-E54*((D54-D53)/(E54-E53))</f>
        <v>3.725602176451368</v>
      </c>
      <c r="E55">
        <f t="shared" si="11"/>
        <v>8.8539842124646384E-11</v>
      </c>
    </row>
    <row r="56" spans="3:8" x14ac:dyDescent="0.25">
      <c r="C56">
        <v>6</v>
      </c>
      <c r="D56" s="4">
        <f>+D55-E55*((D55-D54)/(E55-E54))</f>
        <v>3.7256021764726639</v>
      </c>
      <c r="E56">
        <f t="shared" si="11"/>
        <v>0</v>
      </c>
    </row>
    <row r="57" spans="3:8" x14ac:dyDescent="0.25">
      <c r="D57" t="s">
        <v>13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Problema_1_bis_new_sec</vt:lpstr>
      <vt:lpstr>Problema_2_bis_new_sec</vt:lpstr>
      <vt:lpstr>Problema_3_bis_new_sec</vt:lpstr>
      <vt:lpstr>Problema_4_bis_new_sec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Lizbeth Pilco Pinto</cp:lastModifiedBy>
  <dcterms:created xsi:type="dcterms:W3CDTF">2025-11-11T14:31:39Z</dcterms:created>
  <dcterms:modified xsi:type="dcterms:W3CDTF">2025-11-29T20:59:13Z</dcterms:modified>
</cp:coreProperties>
</file>